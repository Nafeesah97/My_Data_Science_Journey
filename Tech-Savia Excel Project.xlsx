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timelines/timeline1.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https://d.docs.live.net/89285c6435e82a39/Documents/portfolio_projects/DataCamp/Excel/"/>
    </mc:Choice>
  </mc:AlternateContent>
  <xr:revisionPtr revIDLastSave="3" documentId="8_{F3367EC9-F113-48B8-9BD3-4AA1317A15BF}" xr6:coauthVersionLast="47" xr6:coauthVersionMax="47" xr10:uidLastSave="{F28190BD-23BB-4C89-AF51-FFE3A97E5B2D}"/>
  <bookViews>
    <workbookView xWindow="-108" yWindow="-108" windowWidth="23256" windowHeight="12456" firstSheet="8" activeTab="8" xr2:uid="{1C626E9E-6507-4AAD-9A97-00CFF17599A6}"/>
  </bookViews>
  <sheets>
    <sheet name="Sheet14" sheetId="16" r:id="rId1"/>
    <sheet name="Sheet15" sheetId="18" r:id="rId2"/>
    <sheet name="GlobalTech" sheetId="2" r:id="rId3"/>
    <sheet name="10yrs_plus_emp" sheetId="1" r:id="rId4"/>
    <sheet name="high_avg_dept" sheetId="4" r:id="rId5"/>
    <sheet name="salary per department" sheetId="5" r:id="rId6"/>
    <sheet name="Highclass" sheetId="6" r:id="rId7"/>
    <sheet name="Top country and City" sheetId="7" r:id="rId8"/>
    <sheet name="Department by country" sheetId="8" r:id="rId9"/>
    <sheet name="experience vs salary" sheetId="9" r:id="rId10"/>
    <sheet name="Top earners" sheetId="10" r:id="rId11"/>
    <sheet name="Top department" sheetId="11" r:id="rId12"/>
    <sheet name="Top job title" sheetId="12" r:id="rId13"/>
    <sheet name="Sheet11" sheetId="13" r:id="rId14"/>
    <sheet name="GlobalTech Employee Dashboard" sheetId="14" r:id="rId15"/>
  </sheets>
  <definedNames>
    <definedName name="ExternalData_1" localSheetId="2" hidden="1">GlobalTech!$A$1:$I$31</definedName>
    <definedName name="global">Page001[]</definedName>
    <definedName name="NativeTimeline_HireDate">#N/A</definedName>
    <definedName name="Slicer_City">#N/A</definedName>
    <definedName name="Slicer_Country">#N/A</definedName>
    <definedName name="Slicer_Department">#N/A</definedName>
  </definedNames>
  <calcPr calcId="191029"/>
  <pivotCaches>
    <pivotCache cacheId="19"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8" i="2" l="1"/>
  <c r="C35" i="2"/>
  <c r="C36"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C37"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F240C5-B417-4765-9462-2A6B69F33CD8}" keepAlive="1" name="Query - Page001" description="Connection to the 'Page001' query in the workbook." type="5" refreshedVersion="8" background="1" saveData="1">
    <dbPr connection="Provider=Microsoft.Mashup.OleDb.1;Data Source=$Workbook$;Location=Page001;Extended Properties=&quot;&quot;" command="SELECT * FROM [Page001]"/>
  </connection>
  <connection id="2" xr16:uid="{EFA1BA71-327E-44BD-92B5-5533DF7BD04B}" keepAlive="1" name="Query - Page002" description="Connection to the 'Page002' query in the workbook." type="5" refreshedVersion="8" background="1" saveData="1">
    <dbPr connection="Provider=Microsoft.Mashup.OleDb.1;Data Source=$Workbook$;Location=Page002;Extended Properties=&quot;&quot;" command="SELECT * FROM [Page002]"/>
  </connection>
</connections>
</file>

<file path=xl/sharedStrings.xml><?xml version="1.0" encoding="utf-8"?>
<sst xmlns="http://schemas.openxmlformats.org/spreadsheetml/2006/main" count="496" uniqueCount="165">
  <si>
    <t>EmpID</t>
  </si>
  <si>
    <t>FullName</t>
  </si>
  <si>
    <t>JobTitle</t>
  </si>
  <si>
    <t>Department</t>
  </si>
  <si>
    <t>HireDate</t>
  </si>
  <si>
    <t>Salary</t>
  </si>
  <si>
    <t>YearsExperience</t>
  </si>
  <si>
    <t>Country</t>
  </si>
  <si>
    <t>City</t>
  </si>
  <si>
    <t>EMP001</t>
  </si>
  <si>
    <t>Laura Doe</t>
  </si>
  <si>
    <t>HR Specialist</t>
  </si>
  <si>
    <t>Finance</t>
  </si>
  <si>
    <t>Canada</t>
  </si>
  <si>
    <t>Toronto</t>
  </si>
  <si>
    <t>EMP002</t>
  </si>
  <si>
    <t>John Brown</t>
  </si>
  <si>
    <t>Data Analyst</t>
  </si>
  <si>
    <t>IT</t>
  </si>
  <si>
    <t>UK</t>
  </si>
  <si>
    <t>Berlin</t>
  </si>
  <si>
    <t>EMP003</t>
  </si>
  <si>
    <t>Jane Smith</t>
  </si>
  <si>
    <t>Developer</t>
  </si>
  <si>
    <t>Sales</t>
  </si>
  <si>
    <t>EMP004</t>
  </si>
  <si>
    <t>James Johnson</t>
  </si>
  <si>
    <t>Project Manager</t>
  </si>
  <si>
    <t>Operations</t>
  </si>
  <si>
    <t>USA</t>
  </si>
  <si>
    <t>New York</t>
  </si>
  <si>
    <t>EMP005</t>
  </si>
  <si>
    <t>Sophia Lee</t>
  </si>
  <si>
    <t>Data Scientist</t>
  </si>
  <si>
    <t>India</t>
  </si>
  <si>
    <t>Delhi</t>
  </si>
  <si>
    <t>EMP006</t>
  </si>
  <si>
    <t>David Kim</t>
  </si>
  <si>
    <t>Financial Analyst</t>
  </si>
  <si>
    <t>EMP007</t>
  </si>
  <si>
    <t>Emma Garcia</t>
  </si>
  <si>
    <t>Designer</t>
  </si>
  <si>
    <t>Marketing</t>
  </si>
  <si>
    <t>France</t>
  </si>
  <si>
    <t>Paris</t>
  </si>
  <si>
    <t>EMP008</t>
  </si>
  <si>
    <t>Daniel Scott</t>
  </si>
  <si>
    <t>Software Engineer</t>
  </si>
  <si>
    <t>Chicago</t>
  </si>
  <si>
    <t>EMP009</t>
  </si>
  <si>
    <t>Olivia Miller</t>
  </si>
  <si>
    <t>Product Manager</t>
  </si>
  <si>
    <t>Germany</t>
  </si>
  <si>
    <t>EMP010</t>
  </si>
  <si>
    <t>William Davis</t>
  </si>
  <si>
    <t>HR Manager</t>
  </si>
  <si>
    <t>HR</t>
  </si>
  <si>
    <t>Montreal</t>
  </si>
  <si>
    <t>EMP011</t>
  </si>
  <si>
    <t>Ethan Wilson</t>
  </si>
  <si>
    <t>Support Engineer</t>
  </si>
  <si>
    <t>Boston</t>
  </si>
  <si>
    <t>EMP012</t>
  </si>
  <si>
    <t>Ava Taylor</t>
  </si>
  <si>
    <t>Marketing Specialist</t>
  </si>
  <si>
    <t>Lyon</t>
  </si>
  <si>
    <t>EMP013</t>
  </si>
  <si>
    <t>Michael Clark</t>
  </si>
  <si>
    <t>DevOps Engineer</t>
  </si>
  <si>
    <t>Mumbai</t>
  </si>
  <si>
    <t>EMP014</t>
  </si>
  <si>
    <t>Isabella White</t>
  </si>
  <si>
    <t>Vancouver</t>
  </si>
  <si>
    <t>EMP015</t>
  </si>
  <si>
    <t>Alexander Hall</t>
  </si>
  <si>
    <t>London</t>
  </si>
  <si>
    <t>EMP016</t>
  </si>
  <si>
    <t>Mia Young</t>
  </si>
  <si>
    <t>Recruiter</t>
  </si>
  <si>
    <t>Miami</t>
  </si>
  <si>
    <t>EMP017</t>
  </si>
  <si>
    <t>Jacob Allen</t>
  </si>
  <si>
    <t>UI/UX Designer</t>
  </si>
  <si>
    <t>EMP018</t>
  </si>
  <si>
    <t>Charlotte King</t>
  </si>
  <si>
    <t>Bangalore</t>
  </si>
  <si>
    <t>EMP019</t>
  </si>
  <si>
    <t>Henry Wright</t>
  </si>
  <si>
    <t>Accountant</t>
  </si>
  <si>
    <t>EMP020</t>
  </si>
  <si>
    <t>Amelia Adams</t>
  </si>
  <si>
    <t>Manchester</t>
  </si>
  <si>
    <t>EMP021</t>
  </si>
  <si>
    <t>Lucas Nelson</t>
  </si>
  <si>
    <t>EMP022</t>
  </si>
  <si>
    <t>Harper Baker</t>
  </si>
  <si>
    <t>Marketing Analyst</t>
  </si>
  <si>
    <t>Hamburg</t>
  </si>
  <si>
    <t>EMP023</t>
  </si>
  <si>
    <t>Daniel Perez</t>
  </si>
  <si>
    <t>Product Owner</t>
  </si>
  <si>
    <t>San Francisco</t>
  </si>
  <si>
    <t>EMP024</t>
  </si>
  <si>
    <t>Evelyn Rivera</t>
  </si>
  <si>
    <t>Customer Support</t>
  </si>
  <si>
    <t>Bristol</t>
  </si>
  <si>
    <t>EMP025</t>
  </si>
  <si>
    <t>Matthew Carter</t>
  </si>
  <si>
    <t>Hyderabad</t>
  </si>
  <si>
    <t>EMP026</t>
  </si>
  <si>
    <t>Sofia Mitchell</t>
  </si>
  <si>
    <t>Data Engineer</t>
  </si>
  <si>
    <t>EMP027</t>
  </si>
  <si>
    <t>Benjamin Roberts</t>
  </si>
  <si>
    <t>Sales Executive</t>
  </si>
  <si>
    <t>Ottawa</t>
  </si>
  <si>
    <t>EMP028</t>
  </si>
  <si>
    <t>Abigail Turner</t>
  </si>
  <si>
    <t>HR Generalist</t>
  </si>
  <si>
    <t>Atlanta</t>
  </si>
  <si>
    <t>EMP029</t>
  </si>
  <si>
    <t>Joseph Phillips</t>
  </si>
  <si>
    <t>Chennai</t>
  </si>
  <si>
    <t>EMP030</t>
  </si>
  <si>
    <t>Emily Campbell</t>
  </si>
  <si>
    <t>Marketing Manager</t>
  </si>
  <si>
    <t>Liverpool</t>
  </si>
  <si>
    <t>employees_10yrs_plus</t>
  </si>
  <si>
    <t>Row Labels</t>
  </si>
  <si>
    <t>Grand Total</t>
  </si>
  <si>
    <t>Average of YearsExperience</t>
  </si>
  <si>
    <t>Sum of Salary</t>
  </si>
  <si>
    <t>Average of Salary</t>
  </si>
  <si>
    <t>Status</t>
  </si>
  <si>
    <t>c</t>
  </si>
  <si>
    <t>High Class</t>
  </si>
  <si>
    <t>Count of EmpID</t>
  </si>
  <si>
    <t>Number of Employee</t>
  </si>
  <si>
    <t>Number of departments</t>
  </si>
  <si>
    <t>The scatter plot shows a weak positive relationship between years of experience and salary</t>
  </si>
  <si>
    <t>Overall, the plot shows there is increase in salary as the year of experience increases. But this is for few of the employees with many exceptions.</t>
  </si>
  <si>
    <t>Full name</t>
  </si>
  <si>
    <t>Job Title</t>
  </si>
  <si>
    <t>Average Salary</t>
  </si>
  <si>
    <t>Average years</t>
  </si>
  <si>
    <t>percentage of 10+years</t>
  </si>
  <si>
    <t>Average years of experience</t>
  </si>
  <si>
    <t>2012</t>
  </si>
  <si>
    <t>2013</t>
  </si>
  <si>
    <t>2014</t>
  </si>
  <si>
    <t>2015</t>
  </si>
  <si>
    <t>2016</t>
  </si>
  <si>
    <t>2017</t>
  </si>
  <si>
    <t>2018</t>
  </si>
  <si>
    <t>2019</t>
  </si>
  <si>
    <t>2020</t>
  </si>
  <si>
    <t>2021</t>
  </si>
  <si>
    <t>2022</t>
  </si>
  <si>
    <t>Total Salary</t>
  </si>
  <si>
    <t>Employees with 10+years</t>
  </si>
  <si>
    <t>Employees with 3 years or less</t>
  </si>
  <si>
    <t>City with largest workforce</t>
  </si>
  <si>
    <t>City with highest total salary</t>
  </si>
  <si>
    <t>percentage of 3- years</t>
  </si>
  <si>
    <t>GLOBALTECH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</si>
</sst>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quot;$&quot;#,##0.00"/>
  </numFmts>
  <fonts count="4"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4" tint="0.39997558519241921"/>
        <bgColor indexed="64"/>
      </patternFill>
    </fill>
    <fill>
      <patternFill patternType="solid">
        <fgColor theme="4" tint="0.59999389629810485"/>
        <bgColor indexed="64"/>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2">
    <xf numFmtId="0" fontId="0" fillId="0" borderId="0"/>
    <xf numFmtId="44" fontId="1" fillId="0" borderId="0" applyFont="0" applyFill="0" applyBorder="0" applyAlignment="0" applyProtection="0"/>
  </cellStyleXfs>
  <cellXfs count="47">
    <xf numFmtId="0" fontId="0" fillId="0" borderId="0" xfId="0"/>
    <xf numFmtId="0" fontId="0" fillId="0" borderId="0" xfId="0" applyNumberFormat="1"/>
    <xf numFmtId="14" fontId="0" fillId="0" borderId="0" xfId="0" applyNumberFormat="1"/>
    <xf numFmtId="0" fontId="2" fillId="2" borderId="1" xfId="0" applyFont="1" applyFill="1" applyBorder="1"/>
    <xf numFmtId="0" fontId="2" fillId="2" borderId="2" xfId="0" applyFont="1" applyFill="1" applyBorder="1"/>
    <xf numFmtId="0" fontId="2" fillId="2" borderId="3" xfId="0" applyFont="1" applyFill="1" applyBorder="1"/>
    <xf numFmtId="0" fontId="0" fillId="3" borderId="2" xfId="0" applyFont="1" applyFill="1" applyBorder="1"/>
    <xf numFmtId="0" fontId="0" fillId="0" borderId="2" xfId="0" applyFont="1" applyBorder="1"/>
    <xf numFmtId="0" fontId="0" fillId="3" borderId="3" xfId="0" applyFont="1" applyFill="1" applyBorder="1"/>
    <xf numFmtId="0" fontId="0" fillId="0" borderId="3" xfId="0" applyFont="1" applyBorder="1"/>
    <xf numFmtId="0" fontId="0" fillId="3" borderId="1" xfId="0" applyNumberFormat="1" applyFont="1" applyFill="1" applyBorder="1"/>
    <xf numFmtId="0" fontId="0" fillId="3" borderId="2" xfId="0" applyNumberFormat="1" applyFont="1" applyFill="1" applyBorder="1"/>
    <xf numFmtId="14" fontId="0" fillId="3" borderId="2" xfId="0" applyNumberFormat="1" applyFont="1" applyFill="1" applyBorder="1"/>
    <xf numFmtId="0" fontId="0" fillId="0" borderId="1" xfId="0" applyNumberFormat="1" applyFont="1" applyBorder="1"/>
    <xf numFmtId="0" fontId="0" fillId="0" borderId="2" xfId="0" applyNumberFormat="1" applyFont="1" applyBorder="1"/>
    <xf numFmtId="14" fontId="0" fillId="0" borderId="2" xfId="0" applyNumberFormat="1" applyFont="1" applyBorder="1"/>
    <xf numFmtId="0" fontId="0" fillId="0" borderId="0" xfId="0" pivotButton="1"/>
    <xf numFmtId="0" fontId="0" fillId="0" borderId="0" xfId="0" applyAlignment="1">
      <alignment horizontal="left"/>
    </xf>
    <xf numFmtId="49" fontId="0" fillId="0" borderId="0" xfId="0" applyNumberFormat="1"/>
    <xf numFmtId="49" fontId="0" fillId="0" borderId="0" xfId="1" applyNumberFormat="1" applyFont="1"/>
    <xf numFmtId="164" fontId="0" fillId="0" borderId="0" xfId="0" applyNumberFormat="1"/>
    <xf numFmtId="2" fontId="0" fillId="0" borderId="0" xfId="0" applyNumberFormat="1"/>
    <xf numFmtId="44" fontId="0" fillId="0" borderId="0" xfId="0" applyNumberFormat="1"/>
    <xf numFmtId="49" fontId="2" fillId="2" borderId="2" xfId="0" applyNumberFormat="1" applyFont="1" applyFill="1" applyBorder="1"/>
    <xf numFmtId="14" fontId="2" fillId="2" borderId="2" xfId="0" applyNumberFormat="1" applyFont="1" applyFill="1" applyBorder="1"/>
    <xf numFmtId="164" fontId="2" fillId="2" borderId="2" xfId="0" applyNumberFormat="1" applyFont="1" applyFill="1" applyBorder="1"/>
    <xf numFmtId="2" fontId="2" fillId="2" borderId="2" xfId="0" applyNumberFormat="1" applyFont="1" applyFill="1" applyBorder="1"/>
    <xf numFmtId="49" fontId="0" fillId="3" borderId="2" xfId="0" applyNumberFormat="1" applyFont="1" applyFill="1" applyBorder="1"/>
    <xf numFmtId="49" fontId="0" fillId="3" borderId="2" xfId="1" applyNumberFormat="1" applyFont="1" applyFill="1" applyBorder="1"/>
    <xf numFmtId="164" fontId="0" fillId="3" borderId="2" xfId="0" applyNumberFormat="1" applyFont="1" applyFill="1" applyBorder="1"/>
    <xf numFmtId="2" fontId="0" fillId="3" borderId="2" xfId="0" applyNumberFormat="1" applyFont="1" applyFill="1" applyBorder="1"/>
    <xf numFmtId="49" fontId="0" fillId="0" borderId="2" xfId="0" applyNumberFormat="1" applyFont="1" applyBorder="1"/>
    <xf numFmtId="49" fontId="0" fillId="0" borderId="2" xfId="1" applyNumberFormat="1" applyFont="1" applyBorder="1"/>
    <xf numFmtId="164" fontId="0" fillId="0" borderId="2" xfId="0" applyNumberFormat="1" applyFont="1" applyBorder="1"/>
    <xf numFmtId="2" fontId="0" fillId="0" borderId="2" xfId="0" applyNumberFormat="1" applyFont="1" applyBorder="1"/>
    <xf numFmtId="0" fontId="0" fillId="0" borderId="0" xfId="0" applyAlignment="1">
      <alignment horizontal="center"/>
    </xf>
    <xf numFmtId="10" fontId="0" fillId="0" borderId="0" xfId="0" applyNumberFormat="1"/>
    <xf numFmtId="0" fontId="0" fillId="0" borderId="0" xfId="0" applyBorder="1"/>
    <xf numFmtId="0" fontId="3" fillId="0" borderId="0" xfId="0" applyFont="1" applyBorder="1" applyAlignment="1">
      <alignment horizontal="center"/>
    </xf>
    <xf numFmtId="0" fontId="0" fillId="0" borderId="0" xfId="0" applyBorder="1" applyAlignment="1">
      <alignment horizontal="center"/>
    </xf>
    <xf numFmtId="0" fontId="0" fillId="4" borderId="0" xfId="0" applyFill="1" applyBorder="1" applyAlignment="1"/>
    <xf numFmtId="0" fontId="0" fillId="4" borderId="0" xfId="0" applyFill="1" applyBorder="1"/>
    <xf numFmtId="0" fontId="0" fillId="4" borderId="0" xfId="0" applyFill="1" applyBorder="1" applyAlignment="1">
      <alignment horizontal="center"/>
    </xf>
    <xf numFmtId="164" fontId="0" fillId="5" borderId="0" xfId="0" applyNumberFormat="1" applyFill="1" applyBorder="1" applyAlignment="1">
      <alignment horizontal="center"/>
    </xf>
    <xf numFmtId="2" fontId="0" fillId="5" borderId="0" xfId="0" applyNumberFormat="1" applyFill="1" applyBorder="1" applyAlignment="1">
      <alignment horizontal="center"/>
    </xf>
    <xf numFmtId="10" fontId="0" fillId="5" borderId="0" xfId="0" applyNumberFormat="1" applyFill="1" applyBorder="1" applyAlignment="1">
      <alignment horizontal="center"/>
    </xf>
    <xf numFmtId="0" fontId="0" fillId="5" borderId="0" xfId="0" applyFill="1" applyBorder="1" applyAlignment="1">
      <alignment horizontal="center"/>
    </xf>
  </cellXfs>
  <cellStyles count="2">
    <cellStyle name="Currency" xfId="1" builtinId="4"/>
    <cellStyle name="Normal" xfId="0" builtinId="0"/>
  </cellStyles>
  <dxfs count="51">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0" formatCode="General"/>
    </dxf>
    <dxf>
      <numFmt numFmtId="34" formatCode="_-&quot;$&quot;* #,##0.00_-;\-&quot;$&quot;* #,##0.00_-;_-&quot;$&quot;* &quot;-&quot;??_-;_-@_-"/>
    </dxf>
    <dxf>
      <numFmt numFmtId="34" formatCode="_-&quot;$&quot;* #,##0.00_-;\-&quot;$&quot;* #,##0.00_-;_-&quot;$&quot;* &quot;-&quot;??_-;_-@_-"/>
    </dxf>
    <dxf>
      <numFmt numFmtId="30" formatCode="@"/>
    </dxf>
    <dxf>
      <numFmt numFmtId="0" formatCode="General"/>
    </dxf>
    <dxf>
      <numFmt numFmtId="30" formatCode="@"/>
    </dxf>
    <dxf>
      <numFmt numFmtId="2" formatCode="0.00"/>
    </dxf>
    <dxf>
      <numFmt numFmtId="164" formatCode="&quot;$&quot;#,##0.00"/>
    </dxf>
    <dxf>
      <numFmt numFmtId="19" formatCode="yyyy/mm/dd"/>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[Tech-Savia Excel Project.xlsx]Sheet14!PivotTable10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hired per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Sheet14!$B$3</c:f>
              <c:strCache>
                <c:ptCount val="1"/>
                <c:pt idx="0">
                  <c:v>Total</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Sheet14!$A$4:$A$15</c:f>
              <c:strCache>
                <c:ptCount val="11"/>
                <c:pt idx="0">
                  <c:v>2012</c:v>
                </c:pt>
                <c:pt idx="1">
                  <c:v>2013</c:v>
                </c:pt>
                <c:pt idx="2">
                  <c:v>2014</c:v>
                </c:pt>
                <c:pt idx="3">
                  <c:v>2015</c:v>
                </c:pt>
                <c:pt idx="4">
                  <c:v>2016</c:v>
                </c:pt>
                <c:pt idx="5">
                  <c:v>2017</c:v>
                </c:pt>
                <c:pt idx="6">
                  <c:v>2018</c:v>
                </c:pt>
                <c:pt idx="7">
                  <c:v>2019</c:v>
                </c:pt>
                <c:pt idx="8">
                  <c:v>2020</c:v>
                </c:pt>
                <c:pt idx="9">
                  <c:v>2021</c:v>
                </c:pt>
                <c:pt idx="10">
                  <c:v>2022</c:v>
                </c:pt>
              </c:strCache>
            </c:strRef>
          </c:cat>
          <c:val>
            <c:numRef>
              <c:f>Sheet14!$B$4:$B$15</c:f>
              <c:numCache>
                <c:formatCode>General</c:formatCode>
                <c:ptCount val="11"/>
                <c:pt idx="0">
                  <c:v>2</c:v>
                </c:pt>
                <c:pt idx="1">
                  <c:v>3</c:v>
                </c:pt>
                <c:pt idx="2">
                  <c:v>3</c:v>
                </c:pt>
                <c:pt idx="3">
                  <c:v>3</c:v>
                </c:pt>
                <c:pt idx="4">
                  <c:v>4</c:v>
                </c:pt>
                <c:pt idx="5">
                  <c:v>3</c:v>
                </c:pt>
                <c:pt idx="6">
                  <c:v>4</c:v>
                </c:pt>
                <c:pt idx="7">
                  <c:v>4</c:v>
                </c:pt>
                <c:pt idx="8">
                  <c:v>2</c:v>
                </c:pt>
                <c:pt idx="9">
                  <c:v>1</c:v>
                </c:pt>
                <c:pt idx="10">
                  <c:v>1</c:v>
                </c:pt>
              </c:numCache>
            </c:numRef>
          </c:val>
          <c:smooth val="0"/>
          <c:extLst>
            <c:ext xmlns:c16="http://schemas.microsoft.com/office/drawing/2014/chart" uri="{C3380CC4-5D6E-409C-BE32-E72D297353CC}">
              <c16:uniqueId val="{00000000-4D6D-446F-A154-8BB7A3836969}"/>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86323039"/>
        <c:axId val="86316319"/>
      </c:lineChart>
      <c:catAx>
        <c:axId val="863230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Hire period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16319"/>
        <c:crosses val="autoZero"/>
        <c:auto val="1"/>
        <c:lblAlgn val="ctr"/>
        <c:lblOffset val="100"/>
        <c:noMultiLvlLbl val="0"/>
      </c:catAx>
      <c:valAx>
        <c:axId val="86316319"/>
        <c:scaling>
          <c:orientation val="minMax"/>
        </c:scaling>
        <c:delete val="1"/>
        <c:axPos val="l"/>
        <c:numFmt formatCode="General" sourceLinked="1"/>
        <c:majorTickMark val="none"/>
        <c:minorTickMark val="none"/>
        <c:tickLblPos val="nextTo"/>
        <c:crossAx val="8632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[Tech-Savia Excel Project.xlsx]Sheet15!PivotTable12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Departments with high retention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Sheet15!$B$3</c:f>
              <c:strCache>
                <c:ptCount val="1"/>
                <c:pt idx="0">
                  <c:v>Total</c:v>
                </c:pt>
              </c:strCache>
            </c:strRef>
          </c:tx>
          <c:spPr>
            <a:solidFill>
              <a:schemeClr val="accent1"/>
            </a:solidFill>
            <a:ln>
              <a:noFill/>
            </a:ln>
            <a:effectLst/>
          </c:spPr>
          <c:invertIfNegative val="0"/>
          <c:cat>
            <c:strRef>
              <c:f>Sheet15!$A$4:$A$6</c:f>
              <c:strCache>
                <c:ptCount val="3"/>
                <c:pt idx="0">
                  <c:v>Operations</c:v>
                </c:pt>
                <c:pt idx="1">
                  <c:v>Finance</c:v>
                </c:pt>
                <c:pt idx="2">
                  <c:v>HR</c:v>
                </c:pt>
              </c:strCache>
            </c:strRef>
          </c:cat>
          <c:val>
            <c:numRef>
              <c:f>Sheet15!$B$4:$B$6</c:f>
              <c:numCache>
                <c:formatCode>0.00</c:formatCode>
                <c:ptCount val="3"/>
                <c:pt idx="0">
                  <c:v>13</c:v>
                </c:pt>
                <c:pt idx="1">
                  <c:v>10.559999999999999</c:v>
                </c:pt>
                <c:pt idx="2">
                  <c:v>8.75</c:v>
                </c:pt>
              </c:numCache>
            </c:numRef>
          </c:val>
          <c:extLst>
            <c:ext xmlns:c16="http://schemas.microsoft.com/office/drawing/2014/chart" uri="{C3380CC4-5D6E-409C-BE32-E72D297353CC}">
              <c16:uniqueId val="{00000000-D605-4366-9043-2EE178E5F600}"/>
            </c:ext>
          </c:extLst>
        </c:ser>
        <c:dLbls>
          <c:showLegendKey val="0"/>
          <c:showVal val="0"/>
          <c:showCatName val="0"/>
          <c:showSerName val="0"/>
          <c:showPercent val="0"/>
          <c:showBubbleSize val="0"/>
        </c:dLbls>
        <c:gapWidth val="219"/>
        <c:overlap val="-27"/>
        <c:axId val="86415727"/>
        <c:axId val="86429167"/>
      </c:barChart>
      <c:catAx>
        <c:axId val="8641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29167"/>
        <c:crosses val="autoZero"/>
        <c:auto val="1"/>
        <c:lblAlgn val="ctr"/>
        <c:lblOffset val="100"/>
        <c:noMultiLvlLbl val="0"/>
      </c:catAx>
      <c:valAx>
        <c:axId val="86429167"/>
        <c:scaling>
          <c:orientation val="minMax"/>
        </c:scaling>
        <c:delete val="1"/>
        <c:axPos val="l"/>
        <c:numFmt formatCode="0" sourceLinked="0"/>
        <c:majorTickMark val="none"/>
        <c:minorTickMark val="none"/>
        <c:tickLblPos val="nextTo"/>
        <c:crossAx val="8641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[Tech-Savia Excel Project.xlsx]high_avg_dept!PivotTable1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years of experience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high_avg_dept!$B$3</c:f>
              <c:strCache>
                <c:ptCount val="1"/>
                <c:pt idx="0">
                  <c:v>Total</c:v>
                </c:pt>
              </c:strCache>
            </c:strRef>
          </c:tx>
          <c:spPr>
            <a:solidFill>
              <a:schemeClr val="accent4"/>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high_avg_dept!$A$4:$A$9</c:f>
              <c:strCache>
                <c:ptCount val="6"/>
                <c:pt idx="0">
                  <c:v>Sales</c:v>
                </c:pt>
                <c:pt idx="1">
                  <c:v>Marketing</c:v>
                </c:pt>
                <c:pt idx="2">
                  <c:v>IT</c:v>
                </c:pt>
                <c:pt idx="3">
                  <c:v>HR</c:v>
                </c:pt>
                <c:pt idx="4">
                  <c:v>Finance</c:v>
                </c:pt>
                <c:pt idx="5">
                  <c:v>Operations</c:v>
                </c:pt>
              </c:strCache>
            </c:strRef>
          </c:cat>
          <c:val>
            <c:numRef>
              <c:f>high_avg_dept!$B$4:$B$9</c:f>
              <c:numCache>
                <c:formatCode>General</c:formatCode>
                <c:ptCount val="6"/>
                <c:pt idx="0">
                  <c:v>5.34</c:v>
                </c:pt>
                <c:pt idx="1">
                  <c:v>7.1199999999999992</c:v>
                </c:pt>
                <c:pt idx="2">
                  <c:v>7.5333333333333332</c:v>
                </c:pt>
                <c:pt idx="3">
                  <c:v>8.75</c:v>
                </c:pt>
                <c:pt idx="4">
                  <c:v>10.559999999999999</c:v>
                </c:pt>
                <c:pt idx="5">
                  <c:v>13</c:v>
                </c:pt>
              </c:numCache>
            </c:numRef>
          </c:val>
          <c:extLst>
            <c:ext xmlns:c16="http://schemas.microsoft.com/office/drawing/2014/chart" uri="{C3380CC4-5D6E-409C-BE32-E72D297353CC}">
              <c16:uniqueId val="{00000000-CD17-4153-8AD4-59E1E6A155D8}"/>
            </c:ext>
          </c:extLst>
        </c:ser>
        <c:dLbls>
          <c:showLegendKey val="0"/>
          <c:showVal val="0"/>
          <c:showCatName val="0"/>
          <c:showSerName val="0"/>
          <c:showPercent val="0"/>
          <c:showBubbleSize val="0"/>
        </c:dLbls>
        <c:gapWidth val="182"/>
        <c:axId val="86323999"/>
        <c:axId val="86328799"/>
      </c:barChart>
      <c:catAx>
        <c:axId val="86323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28799"/>
        <c:crosses val="autoZero"/>
        <c:auto val="1"/>
        <c:lblAlgn val="ctr"/>
        <c:lblOffset val="100"/>
        <c:noMultiLvlLbl val="0"/>
      </c:catAx>
      <c:valAx>
        <c:axId val="86328799"/>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6323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[Tech-Savia Excel Project.xlsx]salary per department!PivotTable2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b="1"/>
              <a:t>IT</a:t>
            </a:r>
            <a:r>
              <a:rPr lang="en-CA" baseline="0"/>
              <a:t> had the highest total salary while </a:t>
            </a:r>
            <a:r>
              <a:rPr lang="en-CA" b="1" baseline="0"/>
              <a:t>Operations </a:t>
            </a:r>
            <a:r>
              <a:rPr lang="en-CA" baseline="0"/>
              <a:t>had the highest average salary</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 per department'!$B$3</c:f>
              <c:strCache>
                <c:ptCount val="1"/>
                <c:pt idx="0">
                  <c:v>Average of Salary</c:v>
                </c:pt>
              </c:strCache>
            </c:strRef>
          </c:tx>
          <c:spPr>
            <a:solidFill>
              <a:schemeClr val="accent4">
                <a:shade val="76000"/>
              </a:schemeClr>
            </a:solidFill>
            <a:ln>
              <a:noFill/>
            </a:ln>
            <a:effectLst/>
          </c:spPr>
          <c:invertIfNegative val="0"/>
          <c:cat>
            <c:strRef>
              <c:f>'salary per department'!$A$4:$A$9</c:f>
              <c:strCache>
                <c:ptCount val="6"/>
                <c:pt idx="0">
                  <c:v>Operations</c:v>
                </c:pt>
                <c:pt idx="1">
                  <c:v>IT</c:v>
                </c:pt>
                <c:pt idx="2">
                  <c:v>Finance</c:v>
                </c:pt>
                <c:pt idx="3">
                  <c:v>Sales</c:v>
                </c:pt>
                <c:pt idx="4">
                  <c:v>HR</c:v>
                </c:pt>
                <c:pt idx="5">
                  <c:v>Marketing</c:v>
                </c:pt>
              </c:strCache>
            </c:strRef>
          </c:cat>
          <c:val>
            <c:numRef>
              <c:f>'salary per department'!$B$4:$B$9</c:f>
              <c:numCache>
                <c:formatCode>_("$"* #,##0.00_);_("$"* \(#,##0.00\);_("$"* "-"??_);_(@_)</c:formatCode>
                <c:ptCount val="6"/>
                <c:pt idx="0">
                  <c:v>130150.47500000001</c:v>
                </c:pt>
                <c:pt idx="1">
                  <c:v>113293.46888888888</c:v>
                </c:pt>
                <c:pt idx="2">
                  <c:v>91752.645999999993</c:v>
                </c:pt>
                <c:pt idx="3">
                  <c:v>90305.05</c:v>
                </c:pt>
                <c:pt idx="4">
                  <c:v>80025.5625</c:v>
                </c:pt>
                <c:pt idx="5">
                  <c:v>78200.459999999992</c:v>
                </c:pt>
              </c:numCache>
            </c:numRef>
          </c:val>
          <c:extLst>
            <c:ext xmlns:c16="http://schemas.microsoft.com/office/drawing/2014/chart" uri="{C3380CC4-5D6E-409C-BE32-E72D297353CC}">
              <c16:uniqueId val="{00000000-D04C-4289-A637-3D18C016235A}"/>
            </c:ext>
          </c:extLst>
        </c:ser>
        <c:ser>
          <c:idx val="1"/>
          <c:order val="1"/>
          <c:tx>
            <c:strRef>
              <c:f>'salary per department'!$C$3</c:f>
              <c:strCache>
                <c:ptCount val="1"/>
                <c:pt idx="0">
                  <c:v>Total Salary</c:v>
                </c:pt>
              </c:strCache>
            </c:strRef>
          </c:tx>
          <c:spPr>
            <a:solidFill>
              <a:schemeClr val="accent4">
                <a:tint val="77000"/>
              </a:schemeClr>
            </a:solidFill>
            <a:ln>
              <a:noFill/>
            </a:ln>
            <a:effectLst/>
          </c:spPr>
          <c:invertIfNegative val="0"/>
          <c:cat>
            <c:strRef>
              <c:f>'salary per department'!$A$4:$A$9</c:f>
              <c:strCache>
                <c:ptCount val="6"/>
                <c:pt idx="0">
                  <c:v>Operations</c:v>
                </c:pt>
                <c:pt idx="1">
                  <c:v>IT</c:v>
                </c:pt>
                <c:pt idx="2">
                  <c:v>Finance</c:v>
                </c:pt>
                <c:pt idx="3">
                  <c:v>Sales</c:v>
                </c:pt>
                <c:pt idx="4">
                  <c:v>HR</c:v>
                </c:pt>
                <c:pt idx="5">
                  <c:v>Marketing</c:v>
                </c:pt>
              </c:strCache>
            </c:strRef>
          </c:cat>
          <c:val>
            <c:numRef>
              <c:f>'salary per department'!$C$4:$C$9</c:f>
              <c:numCache>
                <c:formatCode>_("$"* #,##0.00_);_("$"* \(#,##0.00\);_("$"* "-"??_);_(@_)</c:formatCode>
                <c:ptCount val="6"/>
                <c:pt idx="0">
                  <c:v>260300.95</c:v>
                </c:pt>
                <c:pt idx="1">
                  <c:v>1019641.2199999999</c:v>
                </c:pt>
                <c:pt idx="2">
                  <c:v>458763.23</c:v>
                </c:pt>
                <c:pt idx="3">
                  <c:v>451525.25</c:v>
                </c:pt>
                <c:pt idx="4">
                  <c:v>320102.25</c:v>
                </c:pt>
                <c:pt idx="5">
                  <c:v>391002.3</c:v>
                </c:pt>
              </c:numCache>
            </c:numRef>
          </c:val>
          <c:extLst>
            <c:ext xmlns:c16="http://schemas.microsoft.com/office/drawing/2014/chart" uri="{C3380CC4-5D6E-409C-BE32-E72D297353CC}">
              <c16:uniqueId val="{00000001-D04C-4289-A637-3D18C016235A}"/>
            </c:ext>
          </c:extLst>
        </c:ser>
        <c:dLbls>
          <c:showLegendKey val="0"/>
          <c:showVal val="0"/>
          <c:showCatName val="0"/>
          <c:showSerName val="0"/>
          <c:showPercent val="0"/>
          <c:showBubbleSize val="0"/>
        </c:dLbls>
        <c:gapWidth val="219"/>
        <c:overlap val="-27"/>
        <c:axId val="86329759"/>
        <c:axId val="86336479"/>
      </c:barChart>
      <c:catAx>
        <c:axId val="8632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36479"/>
        <c:crosses val="autoZero"/>
        <c:auto val="1"/>
        <c:lblAlgn val="ctr"/>
        <c:lblOffset val="100"/>
        <c:noMultiLvlLbl val="0"/>
      </c:catAx>
      <c:valAx>
        <c:axId val="86336479"/>
        <c:scaling>
          <c:orientation val="minMax"/>
        </c:scaling>
        <c:delete val="0"/>
        <c:axPos val="l"/>
        <c:numFmt formatCode="&quot;$&quot;#,###\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29759"/>
        <c:crosses val="autoZero"/>
        <c:crossBetween val="between"/>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[Tech-Savia Excel Project.xlsx]salary per department!PivotTable11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USA</a:t>
            </a:r>
            <a:r>
              <a:rPr lang="en-US" baseline="0"/>
              <a:t> has the highest salary earned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 per department'!$B$27</c:f>
              <c:strCache>
                <c:ptCount val="1"/>
                <c:pt idx="0">
                  <c:v>Total</c:v>
                </c:pt>
              </c:strCache>
            </c:strRef>
          </c:tx>
          <c:spPr>
            <a:solidFill>
              <a:schemeClr val="accent4"/>
            </a:solidFill>
            <a:ln>
              <a:noFill/>
            </a:ln>
            <a:effectLst/>
          </c:spPr>
          <c:invertIfNegative val="0"/>
          <c:dLbls>
            <c:numFmt formatCode="&quot;$&quot;#,##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 per department'!$A$28:$A$33</c:f>
              <c:strCache>
                <c:ptCount val="6"/>
                <c:pt idx="0">
                  <c:v>Germany</c:v>
                </c:pt>
                <c:pt idx="1">
                  <c:v>France</c:v>
                </c:pt>
                <c:pt idx="2">
                  <c:v>UK</c:v>
                </c:pt>
                <c:pt idx="3">
                  <c:v>India</c:v>
                </c:pt>
                <c:pt idx="4">
                  <c:v>Canada</c:v>
                </c:pt>
                <c:pt idx="5">
                  <c:v>USA</c:v>
                </c:pt>
              </c:strCache>
            </c:strRef>
          </c:cat>
          <c:val>
            <c:numRef>
              <c:f>'salary per department'!$B$28:$B$33</c:f>
              <c:numCache>
                <c:formatCode>_("$"* #,##0.00_);_("$"* \(#,##0.00\);_("$"* "-"??_);_(@_)</c:formatCode>
                <c:ptCount val="6"/>
                <c:pt idx="0">
                  <c:v>182100.9</c:v>
                </c:pt>
                <c:pt idx="1">
                  <c:v>350001.5</c:v>
                </c:pt>
                <c:pt idx="2">
                  <c:v>477590.47</c:v>
                </c:pt>
                <c:pt idx="3">
                  <c:v>571852.05000000005</c:v>
                </c:pt>
                <c:pt idx="4">
                  <c:v>626086.98</c:v>
                </c:pt>
                <c:pt idx="5">
                  <c:v>693703.3</c:v>
                </c:pt>
              </c:numCache>
            </c:numRef>
          </c:val>
          <c:extLst>
            <c:ext xmlns:c16="http://schemas.microsoft.com/office/drawing/2014/chart" uri="{C3380CC4-5D6E-409C-BE32-E72D297353CC}">
              <c16:uniqueId val="{00000000-15F2-4395-900B-5B12762FA2F8}"/>
            </c:ext>
          </c:extLst>
        </c:ser>
        <c:dLbls>
          <c:dLblPos val="outEnd"/>
          <c:showLegendKey val="0"/>
          <c:showVal val="1"/>
          <c:showCatName val="0"/>
          <c:showSerName val="0"/>
          <c:showPercent val="0"/>
          <c:showBubbleSize val="0"/>
        </c:dLbls>
        <c:gapWidth val="219"/>
        <c:overlap val="-27"/>
        <c:axId val="86360479"/>
        <c:axId val="86346079"/>
      </c:barChart>
      <c:catAx>
        <c:axId val="8636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46079"/>
        <c:crosses val="autoZero"/>
        <c:auto val="1"/>
        <c:lblAlgn val="ctr"/>
        <c:lblOffset val="100"/>
        <c:noMultiLvlLbl val="0"/>
      </c:catAx>
      <c:valAx>
        <c:axId val="86346079"/>
        <c:scaling>
          <c:orientation val="minMax"/>
        </c:scaling>
        <c:delete val="1"/>
        <c:axPos val="l"/>
        <c:numFmt formatCode="&quot;$&quot;#,##0\k" sourceLinked="0"/>
        <c:majorTickMark val="none"/>
        <c:minorTickMark val="none"/>
        <c:tickLblPos val="nextTo"/>
        <c:crossAx val="86360479"/>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[Tech-Savia Excel Project.xlsx]Department by country!PivotTable5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Employee distribution</a:t>
            </a:r>
            <a:r>
              <a:rPr lang="en-CA" baseline="0"/>
              <a:t> by Department and Country</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'Department by country'!$B$3:$B$4</c:f>
              <c:strCache>
                <c:ptCount val="1"/>
                <c:pt idx="0">
                  <c:v>Canada</c:v>
                </c:pt>
              </c:strCache>
            </c:strRef>
          </c:tx>
          <c:spPr>
            <a:solidFill>
              <a:schemeClr val="accent4">
                <a:shade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by country'!$A$5:$A$10</c:f>
              <c:strCache>
                <c:ptCount val="6"/>
                <c:pt idx="0">
                  <c:v>Finance</c:v>
                </c:pt>
                <c:pt idx="1">
                  <c:v>HR</c:v>
                </c:pt>
                <c:pt idx="2">
                  <c:v>IT</c:v>
                </c:pt>
                <c:pt idx="3">
                  <c:v>Marketing</c:v>
                </c:pt>
                <c:pt idx="4">
                  <c:v>Operations</c:v>
                </c:pt>
                <c:pt idx="5">
                  <c:v>Sales</c:v>
                </c:pt>
              </c:strCache>
            </c:strRef>
          </c:cat>
          <c:val>
            <c:numRef>
              <c:f>'Department by country'!$B$5:$B$10</c:f>
              <c:numCache>
                <c:formatCode>General</c:formatCode>
                <c:ptCount val="6"/>
                <c:pt idx="0">
                  <c:v>4</c:v>
                </c:pt>
                <c:pt idx="1">
                  <c:v>1</c:v>
                </c:pt>
                <c:pt idx="5">
                  <c:v>2</c:v>
                </c:pt>
              </c:numCache>
            </c:numRef>
          </c:val>
          <c:extLst>
            <c:ext xmlns:c16="http://schemas.microsoft.com/office/drawing/2014/chart" uri="{C3380CC4-5D6E-409C-BE32-E72D297353CC}">
              <c16:uniqueId val="{00000000-4F6E-4334-9E41-11A61DD71510}"/>
            </c:ext>
          </c:extLst>
        </c:ser>
        <c:ser>
          <c:idx val="1"/>
          <c:order val="1"/>
          <c:tx>
            <c:strRef>
              <c:f>'Department by country'!$C$3:$C$4</c:f>
              <c:strCache>
                <c:ptCount val="1"/>
                <c:pt idx="0">
                  <c:v>France</c:v>
                </c:pt>
              </c:strCache>
            </c:strRef>
          </c:tx>
          <c:spPr>
            <a:solidFill>
              <a:schemeClr val="accent4">
                <a:shade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by country'!$A$5:$A$10</c:f>
              <c:strCache>
                <c:ptCount val="6"/>
                <c:pt idx="0">
                  <c:v>Finance</c:v>
                </c:pt>
                <c:pt idx="1">
                  <c:v>HR</c:v>
                </c:pt>
                <c:pt idx="2">
                  <c:v>IT</c:v>
                </c:pt>
                <c:pt idx="3">
                  <c:v>Marketing</c:v>
                </c:pt>
                <c:pt idx="4">
                  <c:v>Operations</c:v>
                </c:pt>
                <c:pt idx="5">
                  <c:v>Sales</c:v>
                </c:pt>
              </c:strCache>
            </c:strRef>
          </c:cat>
          <c:val>
            <c:numRef>
              <c:f>'Department by country'!$C$5:$C$10</c:f>
              <c:numCache>
                <c:formatCode>General</c:formatCode>
                <c:ptCount val="6"/>
                <c:pt idx="2">
                  <c:v>1</c:v>
                </c:pt>
                <c:pt idx="3">
                  <c:v>3</c:v>
                </c:pt>
              </c:numCache>
            </c:numRef>
          </c:val>
          <c:extLst>
            <c:ext xmlns:c16="http://schemas.microsoft.com/office/drawing/2014/chart" uri="{C3380CC4-5D6E-409C-BE32-E72D297353CC}">
              <c16:uniqueId val="{00000007-4F6E-4334-9E41-11A61DD71510}"/>
            </c:ext>
          </c:extLst>
        </c:ser>
        <c:ser>
          <c:idx val="2"/>
          <c:order val="2"/>
          <c:tx>
            <c:strRef>
              <c:f>'Department by country'!$D$3:$D$4</c:f>
              <c:strCache>
                <c:ptCount val="1"/>
                <c:pt idx="0">
                  <c:v>Germany</c:v>
                </c:pt>
              </c:strCache>
            </c:strRef>
          </c:tx>
          <c:spPr>
            <a:solidFill>
              <a:schemeClr val="accent4">
                <a:shade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by country'!$A$5:$A$10</c:f>
              <c:strCache>
                <c:ptCount val="6"/>
                <c:pt idx="0">
                  <c:v>Finance</c:v>
                </c:pt>
                <c:pt idx="1">
                  <c:v>HR</c:v>
                </c:pt>
                <c:pt idx="2">
                  <c:v>IT</c:v>
                </c:pt>
                <c:pt idx="3">
                  <c:v>Marketing</c:v>
                </c:pt>
                <c:pt idx="4">
                  <c:v>Operations</c:v>
                </c:pt>
                <c:pt idx="5">
                  <c:v>Sales</c:v>
                </c:pt>
              </c:strCache>
            </c:strRef>
          </c:cat>
          <c:val>
            <c:numRef>
              <c:f>'Department by country'!$D$5:$D$10</c:f>
              <c:numCache>
                <c:formatCode>General</c:formatCode>
                <c:ptCount val="6"/>
                <c:pt idx="3">
                  <c:v>1</c:v>
                </c:pt>
                <c:pt idx="5">
                  <c:v>1</c:v>
                </c:pt>
              </c:numCache>
            </c:numRef>
          </c:val>
          <c:extLst>
            <c:ext xmlns:c16="http://schemas.microsoft.com/office/drawing/2014/chart" uri="{C3380CC4-5D6E-409C-BE32-E72D297353CC}">
              <c16:uniqueId val="{00000008-4F6E-4334-9E41-11A61DD71510}"/>
            </c:ext>
          </c:extLst>
        </c:ser>
        <c:ser>
          <c:idx val="3"/>
          <c:order val="3"/>
          <c:tx>
            <c:strRef>
              <c:f>'Department by country'!$E$3:$E$4</c:f>
              <c:strCache>
                <c:ptCount val="1"/>
                <c:pt idx="0">
                  <c:v>India</c:v>
                </c:pt>
              </c:strCache>
            </c:strRef>
          </c:tx>
          <c:spPr>
            <a:solidFill>
              <a:schemeClr val="accent4">
                <a:tint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by country'!$A$5:$A$10</c:f>
              <c:strCache>
                <c:ptCount val="6"/>
                <c:pt idx="0">
                  <c:v>Finance</c:v>
                </c:pt>
                <c:pt idx="1">
                  <c:v>HR</c:v>
                </c:pt>
                <c:pt idx="2">
                  <c:v>IT</c:v>
                </c:pt>
                <c:pt idx="3">
                  <c:v>Marketing</c:v>
                </c:pt>
                <c:pt idx="4">
                  <c:v>Operations</c:v>
                </c:pt>
                <c:pt idx="5">
                  <c:v>Sales</c:v>
                </c:pt>
              </c:strCache>
            </c:strRef>
          </c:cat>
          <c:val>
            <c:numRef>
              <c:f>'Department by country'!$E$5:$E$10</c:f>
              <c:numCache>
                <c:formatCode>General</c:formatCode>
                <c:ptCount val="6"/>
                <c:pt idx="0">
                  <c:v>1</c:v>
                </c:pt>
                <c:pt idx="2">
                  <c:v>4</c:v>
                </c:pt>
              </c:numCache>
            </c:numRef>
          </c:val>
          <c:extLst>
            <c:ext xmlns:c16="http://schemas.microsoft.com/office/drawing/2014/chart" uri="{C3380CC4-5D6E-409C-BE32-E72D297353CC}">
              <c16:uniqueId val="{00000009-4F6E-4334-9E41-11A61DD71510}"/>
            </c:ext>
          </c:extLst>
        </c:ser>
        <c:ser>
          <c:idx val="4"/>
          <c:order val="4"/>
          <c:tx>
            <c:strRef>
              <c:f>'Department by country'!$F$3:$F$4</c:f>
              <c:strCache>
                <c:ptCount val="1"/>
                <c:pt idx="0">
                  <c:v>UK</c:v>
                </c:pt>
              </c:strCache>
            </c:strRef>
          </c:tx>
          <c:spPr>
            <a:solidFill>
              <a:schemeClr val="accent4">
                <a:tint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by country'!$A$5:$A$10</c:f>
              <c:strCache>
                <c:ptCount val="6"/>
                <c:pt idx="0">
                  <c:v>Finance</c:v>
                </c:pt>
                <c:pt idx="1">
                  <c:v>HR</c:v>
                </c:pt>
                <c:pt idx="2">
                  <c:v>IT</c:v>
                </c:pt>
                <c:pt idx="3">
                  <c:v>Marketing</c:v>
                </c:pt>
                <c:pt idx="4">
                  <c:v>Operations</c:v>
                </c:pt>
                <c:pt idx="5">
                  <c:v>Sales</c:v>
                </c:pt>
              </c:strCache>
            </c:strRef>
          </c:cat>
          <c:val>
            <c:numRef>
              <c:f>'Department by country'!$F$5:$F$10</c:f>
              <c:numCache>
                <c:formatCode>General</c:formatCode>
                <c:ptCount val="6"/>
                <c:pt idx="2">
                  <c:v>2</c:v>
                </c:pt>
                <c:pt idx="3">
                  <c:v>1</c:v>
                </c:pt>
                <c:pt idx="5">
                  <c:v>2</c:v>
                </c:pt>
              </c:numCache>
            </c:numRef>
          </c:val>
          <c:extLst>
            <c:ext xmlns:c16="http://schemas.microsoft.com/office/drawing/2014/chart" uri="{C3380CC4-5D6E-409C-BE32-E72D297353CC}">
              <c16:uniqueId val="{0000000A-4F6E-4334-9E41-11A61DD71510}"/>
            </c:ext>
          </c:extLst>
        </c:ser>
        <c:ser>
          <c:idx val="5"/>
          <c:order val="5"/>
          <c:tx>
            <c:strRef>
              <c:f>'Department by country'!$G$3:$G$4</c:f>
              <c:strCache>
                <c:ptCount val="1"/>
                <c:pt idx="0">
                  <c:v>USA</c:v>
                </c:pt>
              </c:strCache>
            </c:strRef>
          </c:tx>
          <c:spPr>
            <a:solidFill>
              <a:schemeClr val="accent4">
                <a:tint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by country'!$A$5:$A$10</c:f>
              <c:strCache>
                <c:ptCount val="6"/>
                <c:pt idx="0">
                  <c:v>Finance</c:v>
                </c:pt>
                <c:pt idx="1">
                  <c:v>HR</c:v>
                </c:pt>
                <c:pt idx="2">
                  <c:v>IT</c:v>
                </c:pt>
                <c:pt idx="3">
                  <c:v>Marketing</c:v>
                </c:pt>
                <c:pt idx="4">
                  <c:v>Operations</c:v>
                </c:pt>
                <c:pt idx="5">
                  <c:v>Sales</c:v>
                </c:pt>
              </c:strCache>
            </c:strRef>
          </c:cat>
          <c:val>
            <c:numRef>
              <c:f>'Department by country'!$G$5:$G$10</c:f>
              <c:numCache>
                <c:formatCode>General</c:formatCode>
                <c:ptCount val="6"/>
                <c:pt idx="1">
                  <c:v>3</c:v>
                </c:pt>
                <c:pt idx="2">
                  <c:v>2</c:v>
                </c:pt>
                <c:pt idx="4">
                  <c:v>2</c:v>
                </c:pt>
              </c:numCache>
            </c:numRef>
          </c:val>
          <c:extLst>
            <c:ext xmlns:c16="http://schemas.microsoft.com/office/drawing/2014/chart" uri="{C3380CC4-5D6E-409C-BE32-E72D297353CC}">
              <c16:uniqueId val="{0000000B-4F6E-4334-9E41-11A61DD71510}"/>
            </c:ext>
          </c:extLst>
        </c:ser>
        <c:dLbls>
          <c:dLblPos val="ctr"/>
          <c:showLegendKey val="0"/>
          <c:showVal val="1"/>
          <c:showCatName val="0"/>
          <c:showSerName val="0"/>
          <c:showPercent val="0"/>
          <c:showBubbleSize val="0"/>
        </c:dLbls>
        <c:gapWidth val="150"/>
        <c:overlap val="100"/>
        <c:axId val="86300479"/>
        <c:axId val="86286559"/>
      </c:barChart>
      <c:catAx>
        <c:axId val="86300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86559"/>
        <c:crosses val="autoZero"/>
        <c:auto val="1"/>
        <c:lblAlgn val="ctr"/>
        <c:lblOffset val="100"/>
        <c:noMultiLvlLbl val="0"/>
      </c:catAx>
      <c:valAx>
        <c:axId val="8628655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t>
                </a:r>
                <a:r>
                  <a:rPr lang="en-CA" baseline="0"/>
                  <a:t> of employees</a:t>
                </a: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8630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a:t>
            </a:r>
            <a:r>
              <a:rPr lang="en-CA" baseline="0"/>
              <a:t> plot of years of experience by salary</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GlobalTech!$G$2:$G$31</c:f>
              <c:numCache>
                <c:formatCode>0.00</c:formatCode>
                <c:ptCount val="30"/>
                <c:pt idx="0">
                  <c:v>13.1</c:v>
                </c:pt>
                <c:pt idx="1">
                  <c:v>14.8</c:v>
                </c:pt>
                <c:pt idx="2">
                  <c:v>1.3</c:v>
                </c:pt>
                <c:pt idx="3">
                  <c:v>11.4</c:v>
                </c:pt>
                <c:pt idx="4">
                  <c:v>4.5</c:v>
                </c:pt>
                <c:pt idx="5">
                  <c:v>9.6999999999999993</c:v>
                </c:pt>
                <c:pt idx="6">
                  <c:v>6.1</c:v>
                </c:pt>
                <c:pt idx="7">
                  <c:v>12</c:v>
                </c:pt>
                <c:pt idx="8">
                  <c:v>3.9</c:v>
                </c:pt>
                <c:pt idx="9">
                  <c:v>14.2</c:v>
                </c:pt>
                <c:pt idx="10">
                  <c:v>5.7</c:v>
                </c:pt>
                <c:pt idx="11">
                  <c:v>2.1</c:v>
                </c:pt>
                <c:pt idx="12">
                  <c:v>8.5</c:v>
                </c:pt>
                <c:pt idx="13">
                  <c:v>7.3</c:v>
                </c:pt>
                <c:pt idx="14">
                  <c:v>10.199999999999999</c:v>
                </c:pt>
                <c:pt idx="15">
                  <c:v>4</c:v>
                </c:pt>
                <c:pt idx="16">
                  <c:v>9.5</c:v>
                </c:pt>
                <c:pt idx="17">
                  <c:v>2.5</c:v>
                </c:pt>
                <c:pt idx="18">
                  <c:v>15</c:v>
                </c:pt>
                <c:pt idx="19">
                  <c:v>3.3</c:v>
                </c:pt>
                <c:pt idx="20">
                  <c:v>6.9</c:v>
                </c:pt>
                <c:pt idx="21">
                  <c:v>5.2</c:v>
                </c:pt>
                <c:pt idx="22">
                  <c:v>14.6</c:v>
                </c:pt>
                <c:pt idx="23">
                  <c:v>3.1</c:v>
                </c:pt>
                <c:pt idx="24">
                  <c:v>7.7</c:v>
                </c:pt>
                <c:pt idx="25">
                  <c:v>11.1</c:v>
                </c:pt>
                <c:pt idx="26">
                  <c:v>8.1999999999999993</c:v>
                </c:pt>
                <c:pt idx="27">
                  <c:v>9.9</c:v>
                </c:pt>
                <c:pt idx="28">
                  <c:v>5.4</c:v>
                </c:pt>
                <c:pt idx="29">
                  <c:v>12.7</c:v>
                </c:pt>
              </c:numCache>
            </c:numRef>
          </c:xVal>
          <c:yVal>
            <c:numRef>
              <c:f>GlobalTech!$F$2:$F$31</c:f>
              <c:numCache>
                <c:formatCode>"$"#,##0.00</c:formatCode>
                <c:ptCount val="30"/>
                <c:pt idx="0">
                  <c:v>78960.73</c:v>
                </c:pt>
                <c:pt idx="1">
                  <c:v>105887.97</c:v>
                </c:pt>
                <c:pt idx="2">
                  <c:v>97023.2</c:v>
                </c:pt>
                <c:pt idx="3">
                  <c:v>125500</c:v>
                </c:pt>
                <c:pt idx="4">
                  <c:v>115450.5</c:v>
                </c:pt>
                <c:pt idx="5">
                  <c:v>98400.75</c:v>
                </c:pt>
                <c:pt idx="6">
                  <c:v>76500.2</c:v>
                </c:pt>
                <c:pt idx="7">
                  <c:v>134200</c:v>
                </c:pt>
                <c:pt idx="8">
                  <c:v>112300.65</c:v>
                </c:pt>
                <c:pt idx="9">
                  <c:v>89400.8</c:v>
                </c:pt>
                <c:pt idx="10">
                  <c:v>68500.899999999994</c:v>
                </c:pt>
                <c:pt idx="11">
                  <c:v>60200.45</c:v>
                </c:pt>
                <c:pt idx="12">
                  <c:v>121300.1</c:v>
                </c:pt>
                <c:pt idx="13">
                  <c:v>99800.75</c:v>
                </c:pt>
                <c:pt idx="14">
                  <c:v>109500.25</c:v>
                </c:pt>
                <c:pt idx="15">
                  <c:v>71500.55</c:v>
                </c:pt>
                <c:pt idx="16">
                  <c:v>85000.65</c:v>
                </c:pt>
                <c:pt idx="17">
                  <c:v>125700.85</c:v>
                </c:pt>
                <c:pt idx="18">
                  <c:v>88000.4</c:v>
                </c:pt>
                <c:pt idx="19">
                  <c:v>104500.7</c:v>
                </c:pt>
                <c:pt idx="20">
                  <c:v>78200.350000000006</c:v>
                </c:pt>
                <c:pt idx="21">
                  <c:v>69800.25</c:v>
                </c:pt>
                <c:pt idx="22">
                  <c:v>134800.95000000001</c:v>
                </c:pt>
                <c:pt idx="23">
                  <c:v>58200.800000000003</c:v>
                </c:pt>
                <c:pt idx="24">
                  <c:v>93600.6</c:v>
                </c:pt>
                <c:pt idx="25">
                  <c:v>128300.2</c:v>
                </c:pt>
                <c:pt idx="26">
                  <c:v>74500.350000000006</c:v>
                </c:pt>
                <c:pt idx="27">
                  <c:v>81000.55</c:v>
                </c:pt>
                <c:pt idx="28">
                  <c:v>115800</c:v>
                </c:pt>
                <c:pt idx="29">
                  <c:v>99500.75</c:v>
                </c:pt>
              </c:numCache>
            </c:numRef>
          </c:yVal>
          <c:smooth val="0"/>
          <c:extLst>
            <c:ext xmlns:c16="http://schemas.microsoft.com/office/drawing/2014/chart" uri="{C3380CC4-5D6E-409C-BE32-E72D297353CC}">
              <c16:uniqueId val="{00000001-C168-4B3D-8C16-1E307183F4EC}"/>
            </c:ext>
          </c:extLst>
        </c:ser>
        <c:dLbls>
          <c:showLegendKey val="0"/>
          <c:showVal val="0"/>
          <c:showCatName val="0"/>
          <c:showSerName val="0"/>
          <c:showPercent val="0"/>
          <c:showBubbleSize val="0"/>
        </c:dLbls>
        <c:axId val="1850058912"/>
        <c:axId val="1850075712"/>
      </c:scatterChart>
      <c:valAx>
        <c:axId val="1850058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Years  of experience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075712"/>
        <c:crosses val="autoZero"/>
        <c:crossBetween val="midCat"/>
      </c:valAx>
      <c:valAx>
        <c:axId val="18500757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Salary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058912"/>
        <c:crosses val="autoZero"/>
        <c:crossBetween val="midCat"/>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[Tech-Savia Excel Project.xlsx]Top earners!PivotTable6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Earners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earners'!$B$3</c:f>
              <c:strCache>
                <c:ptCount val="1"/>
                <c:pt idx="0">
                  <c:v>Total</c:v>
                </c:pt>
              </c:strCache>
            </c:strRef>
          </c:tx>
          <c:spPr>
            <a:solidFill>
              <a:schemeClr val="accent1"/>
            </a:solidFill>
            <a:ln>
              <a:noFill/>
            </a:ln>
            <a:effectLst/>
          </c:spPr>
          <c:invertIfNegative val="0"/>
          <c:dLbls>
            <c:numFmt formatCode="&quot;$&quot;#,##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earners'!$A$4:$A$8</c:f>
              <c:strCache>
                <c:ptCount val="5"/>
                <c:pt idx="0">
                  <c:v>Daniel Perez</c:v>
                </c:pt>
                <c:pt idx="1">
                  <c:v>Daniel Scott</c:v>
                </c:pt>
                <c:pt idx="2">
                  <c:v>Sofia Mitchell</c:v>
                </c:pt>
                <c:pt idx="3">
                  <c:v>Charlotte King</c:v>
                </c:pt>
                <c:pt idx="4">
                  <c:v>James Johnson</c:v>
                </c:pt>
              </c:strCache>
            </c:strRef>
          </c:cat>
          <c:val>
            <c:numRef>
              <c:f>'Top earners'!$B$4:$B$8</c:f>
              <c:numCache>
                <c:formatCode>"$"#,##0.00</c:formatCode>
                <c:ptCount val="5"/>
                <c:pt idx="0">
                  <c:v>134800.95000000001</c:v>
                </c:pt>
                <c:pt idx="1">
                  <c:v>134200</c:v>
                </c:pt>
                <c:pt idx="2">
                  <c:v>128300.2</c:v>
                </c:pt>
                <c:pt idx="3">
                  <c:v>125700.85</c:v>
                </c:pt>
                <c:pt idx="4">
                  <c:v>125500</c:v>
                </c:pt>
              </c:numCache>
            </c:numRef>
          </c:val>
          <c:extLst>
            <c:ext xmlns:c16="http://schemas.microsoft.com/office/drawing/2014/chart" uri="{C3380CC4-5D6E-409C-BE32-E72D297353CC}">
              <c16:uniqueId val="{00000000-7FB1-4D4D-AE89-61D1115775A6}"/>
            </c:ext>
          </c:extLst>
        </c:ser>
        <c:dLbls>
          <c:dLblPos val="outEnd"/>
          <c:showLegendKey val="0"/>
          <c:showVal val="1"/>
          <c:showCatName val="0"/>
          <c:showSerName val="0"/>
          <c:showPercent val="0"/>
          <c:showBubbleSize val="0"/>
        </c:dLbls>
        <c:gapWidth val="219"/>
        <c:overlap val="-27"/>
        <c:axId val="86375359"/>
        <c:axId val="86359039"/>
      </c:barChart>
      <c:catAx>
        <c:axId val="8637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59039"/>
        <c:crosses val="autoZero"/>
        <c:auto val="1"/>
        <c:lblAlgn val="ctr"/>
        <c:lblOffset val="100"/>
        <c:noMultiLvlLbl val="0"/>
      </c:catAx>
      <c:valAx>
        <c:axId val="86359039"/>
        <c:scaling>
          <c:orientation val="minMax"/>
        </c:scaling>
        <c:delete val="1"/>
        <c:axPos val="l"/>
        <c:majorGridlines>
          <c:spPr>
            <a:ln w="9525" cap="flat" cmpd="sng" algn="ctr">
              <a:solidFill>
                <a:schemeClr val="tx1">
                  <a:lumMod val="15000"/>
                  <a:lumOff val="85000"/>
                </a:schemeClr>
              </a:solidFill>
              <a:round/>
            </a:ln>
            <a:effectLst/>
          </c:spPr>
        </c:majorGridlines>
        <c:numFmt formatCode="&quot;$&quot;#,##0\k" sourceLinked="0"/>
        <c:majorTickMark val="none"/>
        <c:minorTickMark val="none"/>
        <c:tickLblPos val="nextTo"/>
        <c:crossAx val="86375359"/>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[Tech-Savia Excel Project.xlsx]Department by country!PivotTable5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IT department has the </a:t>
            </a:r>
            <a:r>
              <a:rPr lang="en-CA" sz="1200"/>
              <a:t>highest</a:t>
            </a:r>
            <a:r>
              <a:rPr lang="en-CA" baseline="0"/>
              <a:t> number of employees </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'Department by country'!$B$3:$B$4</c:f>
              <c:strCache>
                <c:ptCount val="1"/>
                <c:pt idx="0">
                  <c:v>Canada</c:v>
                </c:pt>
              </c:strCache>
            </c:strRef>
          </c:tx>
          <c:spPr>
            <a:solidFill>
              <a:schemeClr val="accent4">
                <a:shade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by country'!$A$5:$A$10</c:f>
              <c:strCache>
                <c:ptCount val="6"/>
                <c:pt idx="0">
                  <c:v>Finance</c:v>
                </c:pt>
                <c:pt idx="1">
                  <c:v>HR</c:v>
                </c:pt>
                <c:pt idx="2">
                  <c:v>IT</c:v>
                </c:pt>
                <c:pt idx="3">
                  <c:v>Marketing</c:v>
                </c:pt>
                <c:pt idx="4">
                  <c:v>Operations</c:v>
                </c:pt>
                <c:pt idx="5">
                  <c:v>Sales</c:v>
                </c:pt>
              </c:strCache>
            </c:strRef>
          </c:cat>
          <c:val>
            <c:numRef>
              <c:f>'Department by country'!$B$5:$B$10</c:f>
              <c:numCache>
                <c:formatCode>General</c:formatCode>
                <c:ptCount val="6"/>
                <c:pt idx="0">
                  <c:v>4</c:v>
                </c:pt>
                <c:pt idx="1">
                  <c:v>1</c:v>
                </c:pt>
                <c:pt idx="5">
                  <c:v>2</c:v>
                </c:pt>
              </c:numCache>
            </c:numRef>
          </c:val>
          <c:extLst>
            <c:ext xmlns:c16="http://schemas.microsoft.com/office/drawing/2014/chart" uri="{C3380CC4-5D6E-409C-BE32-E72D297353CC}">
              <c16:uniqueId val="{00000000-6C62-4121-9220-CE6C15BB04CE}"/>
            </c:ext>
          </c:extLst>
        </c:ser>
        <c:ser>
          <c:idx val="1"/>
          <c:order val="1"/>
          <c:tx>
            <c:strRef>
              <c:f>'Department by country'!$C$3:$C$4</c:f>
              <c:strCache>
                <c:ptCount val="1"/>
                <c:pt idx="0">
                  <c:v>France</c:v>
                </c:pt>
              </c:strCache>
            </c:strRef>
          </c:tx>
          <c:spPr>
            <a:solidFill>
              <a:schemeClr val="accent4">
                <a:shade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by country'!$A$5:$A$10</c:f>
              <c:strCache>
                <c:ptCount val="6"/>
                <c:pt idx="0">
                  <c:v>Finance</c:v>
                </c:pt>
                <c:pt idx="1">
                  <c:v>HR</c:v>
                </c:pt>
                <c:pt idx="2">
                  <c:v>IT</c:v>
                </c:pt>
                <c:pt idx="3">
                  <c:v>Marketing</c:v>
                </c:pt>
                <c:pt idx="4">
                  <c:v>Operations</c:v>
                </c:pt>
                <c:pt idx="5">
                  <c:v>Sales</c:v>
                </c:pt>
              </c:strCache>
            </c:strRef>
          </c:cat>
          <c:val>
            <c:numRef>
              <c:f>'Department by country'!$C$5:$C$10</c:f>
              <c:numCache>
                <c:formatCode>General</c:formatCode>
                <c:ptCount val="6"/>
                <c:pt idx="2">
                  <c:v>1</c:v>
                </c:pt>
                <c:pt idx="3">
                  <c:v>3</c:v>
                </c:pt>
              </c:numCache>
            </c:numRef>
          </c:val>
          <c:extLst>
            <c:ext xmlns:c16="http://schemas.microsoft.com/office/drawing/2014/chart" uri="{C3380CC4-5D6E-409C-BE32-E72D297353CC}">
              <c16:uniqueId val="{00000007-6C62-4121-9220-CE6C15BB04CE}"/>
            </c:ext>
          </c:extLst>
        </c:ser>
        <c:ser>
          <c:idx val="2"/>
          <c:order val="2"/>
          <c:tx>
            <c:strRef>
              <c:f>'Department by country'!$D$3:$D$4</c:f>
              <c:strCache>
                <c:ptCount val="1"/>
                <c:pt idx="0">
                  <c:v>Germany</c:v>
                </c:pt>
              </c:strCache>
            </c:strRef>
          </c:tx>
          <c:spPr>
            <a:solidFill>
              <a:schemeClr val="accent4">
                <a:shade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by country'!$A$5:$A$10</c:f>
              <c:strCache>
                <c:ptCount val="6"/>
                <c:pt idx="0">
                  <c:v>Finance</c:v>
                </c:pt>
                <c:pt idx="1">
                  <c:v>HR</c:v>
                </c:pt>
                <c:pt idx="2">
                  <c:v>IT</c:v>
                </c:pt>
                <c:pt idx="3">
                  <c:v>Marketing</c:v>
                </c:pt>
                <c:pt idx="4">
                  <c:v>Operations</c:v>
                </c:pt>
                <c:pt idx="5">
                  <c:v>Sales</c:v>
                </c:pt>
              </c:strCache>
            </c:strRef>
          </c:cat>
          <c:val>
            <c:numRef>
              <c:f>'Department by country'!$D$5:$D$10</c:f>
              <c:numCache>
                <c:formatCode>General</c:formatCode>
                <c:ptCount val="6"/>
                <c:pt idx="3">
                  <c:v>1</c:v>
                </c:pt>
                <c:pt idx="5">
                  <c:v>1</c:v>
                </c:pt>
              </c:numCache>
            </c:numRef>
          </c:val>
          <c:extLst>
            <c:ext xmlns:c16="http://schemas.microsoft.com/office/drawing/2014/chart" uri="{C3380CC4-5D6E-409C-BE32-E72D297353CC}">
              <c16:uniqueId val="{00000008-6C62-4121-9220-CE6C15BB04CE}"/>
            </c:ext>
          </c:extLst>
        </c:ser>
        <c:ser>
          <c:idx val="3"/>
          <c:order val="3"/>
          <c:tx>
            <c:strRef>
              <c:f>'Department by country'!$E$3:$E$4</c:f>
              <c:strCache>
                <c:ptCount val="1"/>
                <c:pt idx="0">
                  <c:v>India</c:v>
                </c:pt>
              </c:strCache>
            </c:strRef>
          </c:tx>
          <c:spPr>
            <a:solidFill>
              <a:schemeClr val="accent4">
                <a:tint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by country'!$A$5:$A$10</c:f>
              <c:strCache>
                <c:ptCount val="6"/>
                <c:pt idx="0">
                  <c:v>Finance</c:v>
                </c:pt>
                <c:pt idx="1">
                  <c:v>HR</c:v>
                </c:pt>
                <c:pt idx="2">
                  <c:v>IT</c:v>
                </c:pt>
                <c:pt idx="3">
                  <c:v>Marketing</c:v>
                </c:pt>
                <c:pt idx="4">
                  <c:v>Operations</c:v>
                </c:pt>
                <c:pt idx="5">
                  <c:v>Sales</c:v>
                </c:pt>
              </c:strCache>
            </c:strRef>
          </c:cat>
          <c:val>
            <c:numRef>
              <c:f>'Department by country'!$E$5:$E$10</c:f>
              <c:numCache>
                <c:formatCode>General</c:formatCode>
                <c:ptCount val="6"/>
                <c:pt idx="0">
                  <c:v>1</c:v>
                </c:pt>
                <c:pt idx="2">
                  <c:v>4</c:v>
                </c:pt>
              </c:numCache>
            </c:numRef>
          </c:val>
          <c:extLst>
            <c:ext xmlns:c16="http://schemas.microsoft.com/office/drawing/2014/chart" uri="{C3380CC4-5D6E-409C-BE32-E72D297353CC}">
              <c16:uniqueId val="{00000009-6C62-4121-9220-CE6C15BB04CE}"/>
            </c:ext>
          </c:extLst>
        </c:ser>
        <c:ser>
          <c:idx val="4"/>
          <c:order val="4"/>
          <c:tx>
            <c:strRef>
              <c:f>'Department by country'!$F$3:$F$4</c:f>
              <c:strCache>
                <c:ptCount val="1"/>
                <c:pt idx="0">
                  <c:v>UK</c:v>
                </c:pt>
              </c:strCache>
            </c:strRef>
          </c:tx>
          <c:spPr>
            <a:solidFill>
              <a:schemeClr val="accent4">
                <a:tint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by country'!$A$5:$A$10</c:f>
              <c:strCache>
                <c:ptCount val="6"/>
                <c:pt idx="0">
                  <c:v>Finance</c:v>
                </c:pt>
                <c:pt idx="1">
                  <c:v>HR</c:v>
                </c:pt>
                <c:pt idx="2">
                  <c:v>IT</c:v>
                </c:pt>
                <c:pt idx="3">
                  <c:v>Marketing</c:v>
                </c:pt>
                <c:pt idx="4">
                  <c:v>Operations</c:v>
                </c:pt>
                <c:pt idx="5">
                  <c:v>Sales</c:v>
                </c:pt>
              </c:strCache>
            </c:strRef>
          </c:cat>
          <c:val>
            <c:numRef>
              <c:f>'Department by country'!$F$5:$F$10</c:f>
              <c:numCache>
                <c:formatCode>General</c:formatCode>
                <c:ptCount val="6"/>
                <c:pt idx="2">
                  <c:v>2</c:v>
                </c:pt>
                <c:pt idx="3">
                  <c:v>1</c:v>
                </c:pt>
                <c:pt idx="5">
                  <c:v>2</c:v>
                </c:pt>
              </c:numCache>
            </c:numRef>
          </c:val>
          <c:extLst>
            <c:ext xmlns:c16="http://schemas.microsoft.com/office/drawing/2014/chart" uri="{C3380CC4-5D6E-409C-BE32-E72D297353CC}">
              <c16:uniqueId val="{0000000A-6C62-4121-9220-CE6C15BB04CE}"/>
            </c:ext>
          </c:extLst>
        </c:ser>
        <c:ser>
          <c:idx val="5"/>
          <c:order val="5"/>
          <c:tx>
            <c:strRef>
              <c:f>'Department by country'!$G$3:$G$4</c:f>
              <c:strCache>
                <c:ptCount val="1"/>
                <c:pt idx="0">
                  <c:v>USA</c:v>
                </c:pt>
              </c:strCache>
            </c:strRef>
          </c:tx>
          <c:spPr>
            <a:solidFill>
              <a:schemeClr val="accent4">
                <a:tint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by country'!$A$5:$A$10</c:f>
              <c:strCache>
                <c:ptCount val="6"/>
                <c:pt idx="0">
                  <c:v>Finance</c:v>
                </c:pt>
                <c:pt idx="1">
                  <c:v>HR</c:v>
                </c:pt>
                <c:pt idx="2">
                  <c:v>IT</c:v>
                </c:pt>
                <c:pt idx="3">
                  <c:v>Marketing</c:v>
                </c:pt>
                <c:pt idx="4">
                  <c:v>Operations</c:v>
                </c:pt>
                <c:pt idx="5">
                  <c:v>Sales</c:v>
                </c:pt>
              </c:strCache>
            </c:strRef>
          </c:cat>
          <c:val>
            <c:numRef>
              <c:f>'Department by country'!$G$5:$G$10</c:f>
              <c:numCache>
                <c:formatCode>General</c:formatCode>
                <c:ptCount val="6"/>
                <c:pt idx="1">
                  <c:v>3</c:v>
                </c:pt>
                <c:pt idx="2">
                  <c:v>2</c:v>
                </c:pt>
                <c:pt idx="4">
                  <c:v>2</c:v>
                </c:pt>
              </c:numCache>
            </c:numRef>
          </c:val>
          <c:extLst>
            <c:ext xmlns:c16="http://schemas.microsoft.com/office/drawing/2014/chart" uri="{C3380CC4-5D6E-409C-BE32-E72D297353CC}">
              <c16:uniqueId val="{0000000B-6C62-4121-9220-CE6C15BB04CE}"/>
            </c:ext>
          </c:extLst>
        </c:ser>
        <c:dLbls>
          <c:dLblPos val="ctr"/>
          <c:showLegendKey val="0"/>
          <c:showVal val="1"/>
          <c:showCatName val="0"/>
          <c:showSerName val="0"/>
          <c:showPercent val="0"/>
          <c:showBubbleSize val="0"/>
        </c:dLbls>
        <c:gapWidth val="150"/>
        <c:overlap val="100"/>
        <c:axId val="86300479"/>
        <c:axId val="86286559"/>
      </c:barChart>
      <c:catAx>
        <c:axId val="86300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86559"/>
        <c:crosses val="autoZero"/>
        <c:auto val="1"/>
        <c:lblAlgn val="ctr"/>
        <c:lblOffset val="100"/>
        <c:noMultiLvlLbl val="0"/>
      </c:catAx>
      <c:valAx>
        <c:axId val="8628655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t>
                </a:r>
                <a:r>
                  <a:rPr lang="en-CA" baseline="0"/>
                  <a:t> of employees</a:t>
                </a: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A"/>
            </a:p>
          </c:txPr>
        </c:title>
        <c:numFmt formatCode="General" sourceLinked="1"/>
        <c:majorTickMark val="none"/>
        <c:minorTickMark val="none"/>
        <c:tickLblPos val="nextTo"/>
        <c:crossAx val="8630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[Tech-Savia Excel Project.xlsx]high_avg_dept!PivotTable1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Operations</a:t>
            </a:r>
            <a:r>
              <a:rPr lang="en-US" sz="1200"/>
              <a:t> has the highest</a:t>
            </a:r>
            <a:r>
              <a:rPr lang="en-US" sz="1200" baseline="0"/>
              <a:t> av</a:t>
            </a:r>
            <a:r>
              <a:rPr lang="en-US" sz="1200"/>
              <a:t>erage</a:t>
            </a:r>
            <a:r>
              <a:rPr lang="en-US" sz="1200" baseline="0"/>
              <a:t> years of experience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high_avg_dept!$B$3</c:f>
              <c:strCache>
                <c:ptCount val="1"/>
                <c:pt idx="0">
                  <c:v>Total</c:v>
                </c:pt>
              </c:strCache>
            </c:strRef>
          </c:tx>
          <c:spPr>
            <a:solidFill>
              <a:schemeClr val="accent4"/>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high_avg_dept!$A$4:$A$9</c:f>
              <c:strCache>
                <c:ptCount val="6"/>
                <c:pt idx="0">
                  <c:v>Sales</c:v>
                </c:pt>
                <c:pt idx="1">
                  <c:v>Marketing</c:v>
                </c:pt>
                <c:pt idx="2">
                  <c:v>IT</c:v>
                </c:pt>
                <c:pt idx="3">
                  <c:v>HR</c:v>
                </c:pt>
                <c:pt idx="4">
                  <c:v>Finance</c:v>
                </c:pt>
                <c:pt idx="5">
                  <c:v>Operations</c:v>
                </c:pt>
              </c:strCache>
            </c:strRef>
          </c:cat>
          <c:val>
            <c:numRef>
              <c:f>high_avg_dept!$B$4:$B$9</c:f>
              <c:numCache>
                <c:formatCode>General</c:formatCode>
                <c:ptCount val="6"/>
                <c:pt idx="0">
                  <c:v>5.34</c:v>
                </c:pt>
                <c:pt idx="1">
                  <c:v>7.1199999999999992</c:v>
                </c:pt>
                <c:pt idx="2">
                  <c:v>7.5333333333333332</c:v>
                </c:pt>
                <c:pt idx="3">
                  <c:v>8.75</c:v>
                </c:pt>
                <c:pt idx="4">
                  <c:v>10.559999999999999</c:v>
                </c:pt>
                <c:pt idx="5">
                  <c:v>13</c:v>
                </c:pt>
              </c:numCache>
            </c:numRef>
          </c:val>
          <c:extLst>
            <c:ext xmlns:c16="http://schemas.microsoft.com/office/drawing/2014/chart" uri="{C3380CC4-5D6E-409C-BE32-E72D297353CC}">
              <c16:uniqueId val="{00000000-AEB5-4B8B-9882-92427565DEAA}"/>
            </c:ext>
          </c:extLst>
        </c:ser>
        <c:dLbls>
          <c:showLegendKey val="0"/>
          <c:showVal val="0"/>
          <c:showCatName val="0"/>
          <c:showSerName val="0"/>
          <c:showPercent val="0"/>
          <c:showBubbleSize val="0"/>
        </c:dLbls>
        <c:gapWidth val="182"/>
        <c:axId val="86323999"/>
        <c:axId val="86328799"/>
      </c:barChart>
      <c:catAx>
        <c:axId val="86323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28799"/>
        <c:crosses val="autoZero"/>
        <c:auto val="1"/>
        <c:lblAlgn val="ctr"/>
        <c:lblOffset val="100"/>
        <c:noMultiLvlLbl val="0"/>
      </c:catAx>
      <c:valAx>
        <c:axId val="86328799"/>
        <c:scaling>
          <c:orientation val="minMax"/>
        </c:scaling>
        <c:delete val="1"/>
        <c:axPos val="b"/>
        <c:numFmt formatCode="General" sourceLinked="1"/>
        <c:majorTickMark val="none"/>
        <c:minorTickMark val="none"/>
        <c:tickLblPos val="nextTo"/>
        <c:crossAx val="86323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[Tech-Savia Excel Project.xlsx]Sheet14!PivotTable10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hired per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Sheet14!$B$3</c:f>
              <c:strCache>
                <c:ptCount val="1"/>
                <c:pt idx="0">
                  <c:v>Total</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Sheet14!$A$4:$A$15</c:f>
              <c:strCache>
                <c:ptCount val="11"/>
                <c:pt idx="0">
                  <c:v>2012</c:v>
                </c:pt>
                <c:pt idx="1">
                  <c:v>2013</c:v>
                </c:pt>
                <c:pt idx="2">
                  <c:v>2014</c:v>
                </c:pt>
                <c:pt idx="3">
                  <c:v>2015</c:v>
                </c:pt>
                <c:pt idx="4">
                  <c:v>2016</c:v>
                </c:pt>
                <c:pt idx="5">
                  <c:v>2017</c:v>
                </c:pt>
                <c:pt idx="6">
                  <c:v>2018</c:v>
                </c:pt>
                <c:pt idx="7">
                  <c:v>2019</c:v>
                </c:pt>
                <c:pt idx="8">
                  <c:v>2020</c:v>
                </c:pt>
                <c:pt idx="9">
                  <c:v>2021</c:v>
                </c:pt>
                <c:pt idx="10">
                  <c:v>2022</c:v>
                </c:pt>
              </c:strCache>
            </c:strRef>
          </c:cat>
          <c:val>
            <c:numRef>
              <c:f>Sheet14!$B$4:$B$15</c:f>
              <c:numCache>
                <c:formatCode>General</c:formatCode>
                <c:ptCount val="11"/>
                <c:pt idx="0">
                  <c:v>2</c:v>
                </c:pt>
                <c:pt idx="1">
                  <c:v>3</c:v>
                </c:pt>
                <c:pt idx="2">
                  <c:v>3</c:v>
                </c:pt>
                <c:pt idx="3">
                  <c:v>3</c:v>
                </c:pt>
                <c:pt idx="4">
                  <c:v>4</c:v>
                </c:pt>
                <c:pt idx="5">
                  <c:v>3</c:v>
                </c:pt>
                <c:pt idx="6">
                  <c:v>4</c:v>
                </c:pt>
                <c:pt idx="7">
                  <c:v>4</c:v>
                </c:pt>
                <c:pt idx="8">
                  <c:v>2</c:v>
                </c:pt>
                <c:pt idx="9">
                  <c:v>1</c:v>
                </c:pt>
                <c:pt idx="10">
                  <c:v>1</c:v>
                </c:pt>
              </c:numCache>
            </c:numRef>
          </c:val>
          <c:smooth val="0"/>
          <c:extLst>
            <c:ext xmlns:c16="http://schemas.microsoft.com/office/drawing/2014/chart" uri="{C3380CC4-5D6E-409C-BE32-E72D297353CC}">
              <c16:uniqueId val="{00000000-925E-4989-9898-092DB4C78814}"/>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86323039"/>
        <c:axId val="86316319"/>
      </c:lineChart>
      <c:catAx>
        <c:axId val="863230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Hire period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16319"/>
        <c:crosses val="autoZero"/>
        <c:auto val="1"/>
        <c:lblAlgn val="ctr"/>
        <c:lblOffset val="100"/>
        <c:noMultiLvlLbl val="0"/>
      </c:catAx>
      <c:valAx>
        <c:axId val="86316319"/>
        <c:scaling>
          <c:orientation val="minMax"/>
        </c:scaling>
        <c:delete val="1"/>
        <c:axPos val="l"/>
        <c:numFmt formatCode="General" sourceLinked="1"/>
        <c:majorTickMark val="none"/>
        <c:minorTickMark val="none"/>
        <c:tickLblPos val="nextTo"/>
        <c:crossAx val="8632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[Tech-Savia Excel Project.xlsx]salary per department!PivotTable2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b="1"/>
              <a:t>IT</a:t>
            </a:r>
            <a:r>
              <a:rPr lang="en-CA" baseline="0"/>
              <a:t> had the highest total salary while </a:t>
            </a:r>
            <a:r>
              <a:rPr lang="en-CA" b="1" baseline="0"/>
              <a:t>Operations </a:t>
            </a:r>
            <a:r>
              <a:rPr lang="en-CA" baseline="0"/>
              <a:t>had the highest average salary</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 per department'!$B$3</c:f>
              <c:strCache>
                <c:ptCount val="1"/>
                <c:pt idx="0">
                  <c:v>Average of Salary</c:v>
                </c:pt>
              </c:strCache>
            </c:strRef>
          </c:tx>
          <c:spPr>
            <a:solidFill>
              <a:schemeClr val="accent4">
                <a:shade val="76000"/>
              </a:schemeClr>
            </a:solidFill>
            <a:ln>
              <a:noFill/>
            </a:ln>
            <a:effectLst/>
          </c:spPr>
          <c:invertIfNegative val="0"/>
          <c:cat>
            <c:strRef>
              <c:f>'salary per department'!$A$4:$A$9</c:f>
              <c:strCache>
                <c:ptCount val="6"/>
                <c:pt idx="0">
                  <c:v>Operations</c:v>
                </c:pt>
                <c:pt idx="1">
                  <c:v>IT</c:v>
                </c:pt>
                <c:pt idx="2">
                  <c:v>Finance</c:v>
                </c:pt>
                <c:pt idx="3">
                  <c:v>Sales</c:v>
                </c:pt>
                <c:pt idx="4">
                  <c:v>HR</c:v>
                </c:pt>
                <c:pt idx="5">
                  <c:v>Marketing</c:v>
                </c:pt>
              </c:strCache>
            </c:strRef>
          </c:cat>
          <c:val>
            <c:numRef>
              <c:f>'salary per department'!$B$4:$B$9</c:f>
              <c:numCache>
                <c:formatCode>_("$"* #,##0.00_);_("$"* \(#,##0.00\);_("$"* "-"??_);_(@_)</c:formatCode>
                <c:ptCount val="6"/>
                <c:pt idx="0">
                  <c:v>130150.47500000001</c:v>
                </c:pt>
                <c:pt idx="1">
                  <c:v>113293.46888888888</c:v>
                </c:pt>
                <c:pt idx="2">
                  <c:v>91752.645999999993</c:v>
                </c:pt>
                <c:pt idx="3">
                  <c:v>90305.05</c:v>
                </c:pt>
                <c:pt idx="4">
                  <c:v>80025.5625</c:v>
                </c:pt>
                <c:pt idx="5">
                  <c:v>78200.459999999992</c:v>
                </c:pt>
              </c:numCache>
            </c:numRef>
          </c:val>
          <c:extLst>
            <c:ext xmlns:c16="http://schemas.microsoft.com/office/drawing/2014/chart" uri="{C3380CC4-5D6E-409C-BE32-E72D297353CC}">
              <c16:uniqueId val="{00000000-4696-4053-8478-337E8BD9A497}"/>
            </c:ext>
          </c:extLst>
        </c:ser>
        <c:ser>
          <c:idx val="1"/>
          <c:order val="1"/>
          <c:tx>
            <c:strRef>
              <c:f>'salary per department'!$C$3</c:f>
              <c:strCache>
                <c:ptCount val="1"/>
                <c:pt idx="0">
                  <c:v>Total Salary</c:v>
                </c:pt>
              </c:strCache>
            </c:strRef>
          </c:tx>
          <c:spPr>
            <a:solidFill>
              <a:schemeClr val="accent4">
                <a:tint val="77000"/>
              </a:schemeClr>
            </a:solidFill>
            <a:ln>
              <a:noFill/>
            </a:ln>
            <a:effectLst/>
          </c:spPr>
          <c:invertIfNegative val="0"/>
          <c:cat>
            <c:strRef>
              <c:f>'salary per department'!$A$4:$A$9</c:f>
              <c:strCache>
                <c:ptCount val="6"/>
                <c:pt idx="0">
                  <c:v>Operations</c:v>
                </c:pt>
                <c:pt idx="1">
                  <c:v>IT</c:v>
                </c:pt>
                <c:pt idx="2">
                  <c:v>Finance</c:v>
                </c:pt>
                <c:pt idx="3">
                  <c:v>Sales</c:v>
                </c:pt>
                <c:pt idx="4">
                  <c:v>HR</c:v>
                </c:pt>
                <c:pt idx="5">
                  <c:v>Marketing</c:v>
                </c:pt>
              </c:strCache>
            </c:strRef>
          </c:cat>
          <c:val>
            <c:numRef>
              <c:f>'salary per department'!$C$4:$C$9</c:f>
              <c:numCache>
                <c:formatCode>_("$"* #,##0.00_);_("$"* \(#,##0.00\);_("$"* "-"??_);_(@_)</c:formatCode>
                <c:ptCount val="6"/>
                <c:pt idx="0">
                  <c:v>260300.95</c:v>
                </c:pt>
                <c:pt idx="1">
                  <c:v>1019641.2199999999</c:v>
                </c:pt>
                <c:pt idx="2">
                  <c:v>458763.23</c:v>
                </c:pt>
                <c:pt idx="3">
                  <c:v>451525.25</c:v>
                </c:pt>
                <c:pt idx="4">
                  <c:v>320102.25</c:v>
                </c:pt>
                <c:pt idx="5">
                  <c:v>391002.3</c:v>
                </c:pt>
              </c:numCache>
            </c:numRef>
          </c:val>
          <c:extLst>
            <c:ext xmlns:c16="http://schemas.microsoft.com/office/drawing/2014/chart" uri="{C3380CC4-5D6E-409C-BE32-E72D297353CC}">
              <c16:uniqueId val="{00000001-4696-4053-8478-337E8BD9A497}"/>
            </c:ext>
          </c:extLst>
        </c:ser>
        <c:dLbls>
          <c:showLegendKey val="0"/>
          <c:showVal val="0"/>
          <c:showCatName val="0"/>
          <c:showSerName val="0"/>
          <c:showPercent val="0"/>
          <c:showBubbleSize val="0"/>
        </c:dLbls>
        <c:gapWidth val="219"/>
        <c:overlap val="-27"/>
        <c:axId val="86329759"/>
        <c:axId val="86336479"/>
      </c:barChart>
      <c:catAx>
        <c:axId val="8632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36479"/>
        <c:crosses val="autoZero"/>
        <c:auto val="1"/>
        <c:lblAlgn val="ctr"/>
        <c:lblOffset val="100"/>
        <c:noMultiLvlLbl val="0"/>
      </c:catAx>
      <c:valAx>
        <c:axId val="86336479"/>
        <c:scaling>
          <c:orientation val="minMax"/>
        </c:scaling>
        <c:delete val="0"/>
        <c:axPos val="l"/>
        <c:numFmt formatCode="&quot;$&quot;#,###\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29759"/>
        <c:crosses val="autoZero"/>
        <c:crossBetween val="between"/>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[Tech-Savia Excel Project.xlsx]salary per department!PivotTable11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USA</a:t>
            </a:r>
            <a:r>
              <a:rPr lang="en-US" baseline="0"/>
              <a:t> has the highest salary earned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 per department'!$B$27</c:f>
              <c:strCache>
                <c:ptCount val="1"/>
                <c:pt idx="0">
                  <c:v>Total</c:v>
                </c:pt>
              </c:strCache>
            </c:strRef>
          </c:tx>
          <c:spPr>
            <a:solidFill>
              <a:schemeClr val="accent4"/>
            </a:solidFill>
            <a:ln>
              <a:noFill/>
            </a:ln>
            <a:effectLst/>
          </c:spPr>
          <c:invertIfNegative val="0"/>
          <c:dLbls>
            <c:numFmt formatCode="&quot;$&quot;#,##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 per department'!$A$28:$A$33</c:f>
              <c:strCache>
                <c:ptCount val="6"/>
                <c:pt idx="0">
                  <c:v>Germany</c:v>
                </c:pt>
                <c:pt idx="1">
                  <c:v>France</c:v>
                </c:pt>
                <c:pt idx="2">
                  <c:v>UK</c:v>
                </c:pt>
                <c:pt idx="3">
                  <c:v>India</c:v>
                </c:pt>
                <c:pt idx="4">
                  <c:v>Canada</c:v>
                </c:pt>
                <c:pt idx="5">
                  <c:v>USA</c:v>
                </c:pt>
              </c:strCache>
            </c:strRef>
          </c:cat>
          <c:val>
            <c:numRef>
              <c:f>'salary per department'!$B$28:$B$33</c:f>
              <c:numCache>
                <c:formatCode>_("$"* #,##0.00_);_("$"* \(#,##0.00\);_("$"* "-"??_);_(@_)</c:formatCode>
                <c:ptCount val="6"/>
                <c:pt idx="0">
                  <c:v>182100.9</c:v>
                </c:pt>
                <c:pt idx="1">
                  <c:v>350001.5</c:v>
                </c:pt>
                <c:pt idx="2">
                  <c:v>477590.47</c:v>
                </c:pt>
                <c:pt idx="3">
                  <c:v>571852.05000000005</c:v>
                </c:pt>
                <c:pt idx="4">
                  <c:v>626086.98</c:v>
                </c:pt>
                <c:pt idx="5">
                  <c:v>693703.3</c:v>
                </c:pt>
              </c:numCache>
            </c:numRef>
          </c:val>
          <c:extLst>
            <c:ext xmlns:c16="http://schemas.microsoft.com/office/drawing/2014/chart" uri="{C3380CC4-5D6E-409C-BE32-E72D297353CC}">
              <c16:uniqueId val="{00000000-FCCA-4010-8F74-5A8B31543AE3}"/>
            </c:ext>
          </c:extLst>
        </c:ser>
        <c:dLbls>
          <c:dLblPos val="outEnd"/>
          <c:showLegendKey val="0"/>
          <c:showVal val="1"/>
          <c:showCatName val="0"/>
          <c:showSerName val="0"/>
          <c:showPercent val="0"/>
          <c:showBubbleSize val="0"/>
        </c:dLbls>
        <c:gapWidth val="219"/>
        <c:overlap val="-27"/>
        <c:axId val="86360479"/>
        <c:axId val="86346079"/>
      </c:barChart>
      <c:catAx>
        <c:axId val="8636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46079"/>
        <c:crosses val="autoZero"/>
        <c:auto val="1"/>
        <c:lblAlgn val="ctr"/>
        <c:lblOffset val="100"/>
        <c:noMultiLvlLbl val="0"/>
      </c:catAx>
      <c:valAx>
        <c:axId val="86346079"/>
        <c:scaling>
          <c:orientation val="minMax"/>
        </c:scaling>
        <c:delete val="1"/>
        <c:axPos val="l"/>
        <c:numFmt formatCode="&quot;$&quot;#,##0\k" sourceLinked="0"/>
        <c:majorTickMark val="none"/>
        <c:minorTickMark val="none"/>
        <c:tickLblPos val="nextTo"/>
        <c:crossAx val="86360479"/>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[Tech-Savia Excel Project.xlsx]Top earners!PivotTable6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Earners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earners'!$B$3</c:f>
              <c:strCache>
                <c:ptCount val="1"/>
                <c:pt idx="0">
                  <c:v>Total</c:v>
                </c:pt>
              </c:strCache>
            </c:strRef>
          </c:tx>
          <c:spPr>
            <a:solidFill>
              <a:schemeClr val="accent4"/>
            </a:solidFill>
            <a:ln>
              <a:noFill/>
            </a:ln>
            <a:effectLst/>
          </c:spPr>
          <c:invertIfNegative val="0"/>
          <c:dLbls>
            <c:numFmt formatCode="&quot;$&quot;#,##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earners'!$A$4:$A$8</c:f>
              <c:strCache>
                <c:ptCount val="5"/>
                <c:pt idx="0">
                  <c:v>Daniel Perez</c:v>
                </c:pt>
                <c:pt idx="1">
                  <c:v>Daniel Scott</c:v>
                </c:pt>
                <c:pt idx="2">
                  <c:v>Sofia Mitchell</c:v>
                </c:pt>
                <c:pt idx="3">
                  <c:v>Charlotte King</c:v>
                </c:pt>
                <c:pt idx="4">
                  <c:v>James Johnson</c:v>
                </c:pt>
              </c:strCache>
            </c:strRef>
          </c:cat>
          <c:val>
            <c:numRef>
              <c:f>'Top earners'!$B$4:$B$8</c:f>
              <c:numCache>
                <c:formatCode>"$"#,##0.00</c:formatCode>
                <c:ptCount val="5"/>
                <c:pt idx="0">
                  <c:v>134800.95000000001</c:v>
                </c:pt>
                <c:pt idx="1">
                  <c:v>134200</c:v>
                </c:pt>
                <c:pt idx="2">
                  <c:v>128300.2</c:v>
                </c:pt>
                <c:pt idx="3">
                  <c:v>125700.85</c:v>
                </c:pt>
                <c:pt idx="4">
                  <c:v>125500</c:v>
                </c:pt>
              </c:numCache>
            </c:numRef>
          </c:val>
          <c:extLst>
            <c:ext xmlns:c16="http://schemas.microsoft.com/office/drawing/2014/chart" uri="{C3380CC4-5D6E-409C-BE32-E72D297353CC}">
              <c16:uniqueId val="{00000000-FA73-4E4B-A93E-CF2515CC3EB8}"/>
            </c:ext>
          </c:extLst>
        </c:ser>
        <c:dLbls>
          <c:dLblPos val="outEnd"/>
          <c:showLegendKey val="0"/>
          <c:showVal val="1"/>
          <c:showCatName val="0"/>
          <c:showSerName val="0"/>
          <c:showPercent val="0"/>
          <c:showBubbleSize val="0"/>
        </c:dLbls>
        <c:gapWidth val="219"/>
        <c:overlap val="-27"/>
        <c:axId val="86375359"/>
        <c:axId val="86359039"/>
      </c:barChart>
      <c:catAx>
        <c:axId val="8637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59039"/>
        <c:crosses val="autoZero"/>
        <c:auto val="1"/>
        <c:lblAlgn val="ctr"/>
        <c:lblOffset val="100"/>
        <c:noMultiLvlLbl val="0"/>
      </c:catAx>
      <c:valAx>
        <c:axId val="86359039"/>
        <c:scaling>
          <c:orientation val="minMax"/>
        </c:scaling>
        <c:delete val="1"/>
        <c:axPos val="l"/>
        <c:numFmt formatCode="&quot;$&quot;#,##0\k" sourceLinked="0"/>
        <c:majorTickMark val="none"/>
        <c:minorTickMark val="none"/>
        <c:tickLblPos val="nextTo"/>
        <c:crossAx val="86375359"/>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[Tech-Savia Excel Project.xlsx]Sheet15!PivotTable12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Departments with high retention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Sheet15!$B$3</c:f>
              <c:strCache>
                <c:ptCount val="1"/>
                <c:pt idx="0">
                  <c:v>Total</c:v>
                </c:pt>
              </c:strCache>
            </c:strRef>
          </c:tx>
          <c:spPr>
            <a:solidFill>
              <a:schemeClr val="accent4"/>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Sheet15!$A$4:$A$6</c:f>
              <c:strCache>
                <c:ptCount val="3"/>
                <c:pt idx="0">
                  <c:v>Operations</c:v>
                </c:pt>
                <c:pt idx="1">
                  <c:v>Finance</c:v>
                </c:pt>
                <c:pt idx="2">
                  <c:v>HR</c:v>
                </c:pt>
              </c:strCache>
            </c:strRef>
          </c:cat>
          <c:val>
            <c:numRef>
              <c:f>Sheet15!$B$4:$B$6</c:f>
              <c:numCache>
                <c:formatCode>0.00</c:formatCode>
                <c:ptCount val="3"/>
                <c:pt idx="0">
                  <c:v>13</c:v>
                </c:pt>
                <c:pt idx="1">
                  <c:v>10.559999999999999</c:v>
                </c:pt>
                <c:pt idx="2">
                  <c:v>8.75</c:v>
                </c:pt>
              </c:numCache>
            </c:numRef>
          </c:val>
          <c:extLst>
            <c:ext xmlns:c16="http://schemas.microsoft.com/office/drawing/2014/chart" uri="{C3380CC4-5D6E-409C-BE32-E72D297353CC}">
              <c16:uniqueId val="{00000000-1482-4A48-8500-5BF48F526174}"/>
            </c:ext>
          </c:extLst>
        </c:ser>
        <c:dLbls>
          <c:showLegendKey val="0"/>
          <c:showVal val="0"/>
          <c:showCatName val="0"/>
          <c:showSerName val="0"/>
          <c:showPercent val="0"/>
          <c:showBubbleSize val="0"/>
        </c:dLbls>
        <c:gapWidth val="219"/>
        <c:overlap val="-27"/>
        <c:axId val="86415727"/>
        <c:axId val="86429167"/>
      </c:barChart>
      <c:catAx>
        <c:axId val="8641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29167"/>
        <c:crosses val="autoZero"/>
        <c:auto val="1"/>
        <c:lblAlgn val="ctr"/>
        <c:lblOffset val="100"/>
        <c:noMultiLvlLbl val="0"/>
      </c:catAx>
      <c:valAx>
        <c:axId val="86429167"/>
        <c:scaling>
          <c:orientation val="minMax"/>
        </c:scaling>
        <c:delete val="1"/>
        <c:axPos val="l"/>
        <c:numFmt formatCode="0" sourceLinked="0"/>
        <c:majorTickMark val="none"/>
        <c:minorTickMark val="none"/>
        <c:tickLblPos val="nextTo"/>
        <c:crossAx val="8641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6</xdr:colOff>
      <xdr:row>6</xdr:row>
      <xdr:rowOff>34290</xdr:rowOff>
    </xdr:from>
    <xdr:to>
      <xdr:col>12</xdr:col>
      <xdr:colOff>45726</xdr:colOff>
      <xdr:row>21</xdr:row>
      <xdr:rowOff>34290</xdr:rowOff>
    </xdr:to>
    <xdr:graphicFrame macro="">
      <xdr:nvGraphicFramePr>
        <xdr:cNvPr id="2" name="Chart 1">
          <a:extLst>
            <a:ext uri="{FF2B5EF4-FFF2-40B4-BE49-F238E27FC236}">
              <a16:creationId xmlns:a16="http://schemas.microsoft.com/office/drawing/2014/main" id="{453B885D-DBF0-C72E-BB6D-ECDF6E799C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xdr:colOff>
      <xdr:row>6</xdr:row>
      <xdr:rowOff>34290</xdr:rowOff>
    </xdr:from>
    <xdr:to>
      <xdr:col>5</xdr:col>
      <xdr:colOff>251466</xdr:colOff>
      <xdr:row>21</xdr:row>
      <xdr:rowOff>34290</xdr:rowOff>
    </xdr:to>
    <xdr:graphicFrame macro="">
      <xdr:nvGraphicFramePr>
        <xdr:cNvPr id="2" name="Chart 1">
          <a:extLst>
            <a:ext uri="{FF2B5EF4-FFF2-40B4-BE49-F238E27FC236}">
              <a16:creationId xmlns:a16="http://schemas.microsoft.com/office/drawing/2014/main" id="{C06A2032-4DF6-FAEE-6895-710A44601F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10</xdr:row>
      <xdr:rowOff>133350</xdr:rowOff>
    </xdr:from>
    <xdr:to>
      <xdr:col>13</xdr:col>
      <xdr:colOff>53340</xdr:colOff>
      <xdr:row>25</xdr:row>
      <xdr:rowOff>133350</xdr:rowOff>
    </xdr:to>
    <xdr:graphicFrame macro="">
      <xdr:nvGraphicFramePr>
        <xdr:cNvPr id="2" name="Chart 1">
          <a:extLst>
            <a:ext uri="{FF2B5EF4-FFF2-40B4-BE49-F238E27FC236}">
              <a16:creationId xmlns:a16="http://schemas.microsoft.com/office/drawing/2014/main" id="{66DE933E-CE64-9145-DCBC-E9F0B1634C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xdr:colOff>
      <xdr:row>6</xdr:row>
      <xdr:rowOff>34290</xdr:rowOff>
    </xdr:from>
    <xdr:to>
      <xdr:col>5</xdr:col>
      <xdr:colOff>441966</xdr:colOff>
      <xdr:row>21</xdr:row>
      <xdr:rowOff>34290</xdr:rowOff>
    </xdr:to>
    <xdr:graphicFrame macro="">
      <xdr:nvGraphicFramePr>
        <xdr:cNvPr id="2" name="Chart 1">
          <a:extLst>
            <a:ext uri="{FF2B5EF4-FFF2-40B4-BE49-F238E27FC236}">
              <a16:creationId xmlns:a16="http://schemas.microsoft.com/office/drawing/2014/main" id="{273EC65E-6F32-F12D-2BF9-676456EC3A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xdr:colOff>
      <xdr:row>14</xdr:row>
      <xdr:rowOff>41910</xdr:rowOff>
    </xdr:from>
    <xdr:to>
      <xdr:col>6</xdr:col>
      <xdr:colOff>129546</xdr:colOff>
      <xdr:row>29</xdr:row>
      <xdr:rowOff>41910</xdr:rowOff>
    </xdr:to>
    <xdr:graphicFrame macro="">
      <xdr:nvGraphicFramePr>
        <xdr:cNvPr id="3" name="Chart 2">
          <a:extLst>
            <a:ext uri="{FF2B5EF4-FFF2-40B4-BE49-F238E27FC236}">
              <a16:creationId xmlns:a16="http://schemas.microsoft.com/office/drawing/2014/main" id="{3DB1A395-F0DB-D799-05CD-B0FA3A81CF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xdr:colOff>
      <xdr:row>6</xdr:row>
      <xdr:rowOff>34290</xdr:rowOff>
    </xdr:from>
    <xdr:to>
      <xdr:col>7</xdr:col>
      <xdr:colOff>533406</xdr:colOff>
      <xdr:row>21</xdr:row>
      <xdr:rowOff>34290</xdr:rowOff>
    </xdr:to>
    <xdr:graphicFrame macro="">
      <xdr:nvGraphicFramePr>
        <xdr:cNvPr id="3" name="Chart 2">
          <a:extLst>
            <a:ext uri="{FF2B5EF4-FFF2-40B4-BE49-F238E27FC236}">
              <a16:creationId xmlns:a16="http://schemas.microsoft.com/office/drawing/2014/main" id="{3D881BB2-1F12-3959-9304-3D8930153A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5</xdr:row>
      <xdr:rowOff>0</xdr:rowOff>
    </xdr:from>
    <xdr:to>
      <xdr:col>8</xdr:col>
      <xdr:colOff>304800</xdr:colOff>
      <xdr:row>20</xdr:row>
      <xdr:rowOff>0</xdr:rowOff>
    </xdr:to>
    <xdr:graphicFrame macro="">
      <xdr:nvGraphicFramePr>
        <xdr:cNvPr id="2" name="Chart 1">
          <a:extLst>
            <a:ext uri="{FF2B5EF4-FFF2-40B4-BE49-F238E27FC236}">
              <a16:creationId xmlns:a16="http://schemas.microsoft.com/office/drawing/2014/main" id="{D382E2E7-7F61-419B-8FA3-F8A0583DF0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236220</xdr:colOff>
      <xdr:row>6</xdr:row>
      <xdr:rowOff>118110</xdr:rowOff>
    </xdr:from>
    <xdr:to>
      <xdr:col>8</xdr:col>
      <xdr:colOff>312420</xdr:colOff>
      <xdr:row>21</xdr:row>
      <xdr:rowOff>118110</xdr:rowOff>
    </xdr:to>
    <xdr:graphicFrame macro="">
      <xdr:nvGraphicFramePr>
        <xdr:cNvPr id="2" name="Chart 1">
          <a:extLst>
            <a:ext uri="{FF2B5EF4-FFF2-40B4-BE49-F238E27FC236}">
              <a16:creationId xmlns:a16="http://schemas.microsoft.com/office/drawing/2014/main" id="{DD2739C7-F6B0-778C-A80E-93EDC965A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6</xdr:row>
      <xdr:rowOff>0</xdr:rowOff>
    </xdr:from>
    <xdr:to>
      <xdr:col>8</xdr:col>
      <xdr:colOff>304800</xdr:colOff>
      <xdr:row>21</xdr:row>
      <xdr:rowOff>0</xdr:rowOff>
    </xdr:to>
    <xdr:graphicFrame macro="">
      <xdr:nvGraphicFramePr>
        <xdr:cNvPr id="2" name="Chart 1">
          <a:extLst>
            <a:ext uri="{FF2B5EF4-FFF2-40B4-BE49-F238E27FC236}">
              <a16:creationId xmlns:a16="http://schemas.microsoft.com/office/drawing/2014/main" id="{5117C4F8-857A-4C60-8A37-71B796A66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22</xdr:row>
      <xdr:rowOff>0</xdr:rowOff>
    </xdr:from>
    <xdr:to>
      <xdr:col>8</xdr:col>
      <xdr:colOff>304800</xdr:colOff>
      <xdr:row>37</xdr:row>
      <xdr:rowOff>0</xdr:rowOff>
    </xdr:to>
    <xdr:graphicFrame macro="">
      <xdr:nvGraphicFramePr>
        <xdr:cNvPr id="3" name="Chart 2">
          <a:extLst>
            <a:ext uri="{FF2B5EF4-FFF2-40B4-BE49-F238E27FC236}">
              <a16:creationId xmlns:a16="http://schemas.microsoft.com/office/drawing/2014/main" id="{924C0F9B-C2C4-4957-9A86-D155F8F56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6</xdr:row>
      <xdr:rowOff>0</xdr:rowOff>
    </xdr:from>
    <xdr:to>
      <xdr:col>16</xdr:col>
      <xdr:colOff>304800</xdr:colOff>
      <xdr:row>21</xdr:row>
      <xdr:rowOff>0</xdr:rowOff>
    </xdr:to>
    <xdr:graphicFrame macro="">
      <xdr:nvGraphicFramePr>
        <xdr:cNvPr id="4" name="Chart 3">
          <a:extLst>
            <a:ext uri="{FF2B5EF4-FFF2-40B4-BE49-F238E27FC236}">
              <a16:creationId xmlns:a16="http://schemas.microsoft.com/office/drawing/2014/main" id="{BDFC474F-8979-4275-9ADF-F9A710A17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22</xdr:row>
      <xdr:rowOff>0</xdr:rowOff>
    </xdr:from>
    <xdr:to>
      <xdr:col>16</xdr:col>
      <xdr:colOff>304800</xdr:colOff>
      <xdr:row>37</xdr:row>
      <xdr:rowOff>0</xdr:rowOff>
    </xdr:to>
    <xdr:graphicFrame macro="">
      <xdr:nvGraphicFramePr>
        <xdr:cNvPr id="5" name="Chart 4">
          <a:extLst>
            <a:ext uri="{FF2B5EF4-FFF2-40B4-BE49-F238E27FC236}">
              <a16:creationId xmlns:a16="http://schemas.microsoft.com/office/drawing/2014/main" id="{CEA34D3E-DD78-46E7-9409-F234DC188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39</xdr:row>
      <xdr:rowOff>0</xdr:rowOff>
    </xdr:from>
    <xdr:to>
      <xdr:col>8</xdr:col>
      <xdr:colOff>304800</xdr:colOff>
      <xdr:row>54</xdr:row>
      <xdr:rowOff>0</xdr:rowOff>
    </xdr:to>
    <xdr:graphicFrame macro="">
      <xdr:nvGraphicFramePr>
        <xdr:cNvPr id="6" name="Chart 5">
          <a:extLst>
            <a:ext uri="{FF2B5EF4-FFF2-40B4-BE49-F238E27FC236}">
              <a16:creationId xmlns:a16="http://schemas.microsoft.com/office/drawing/2014/main" id="{101FA75D-5C78-4508-BF7E-5DAEDBB22D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0</xdr:colOff>
      <xdr:row>6</xdr:row>
      <xdr:rowOff>0</xdr:rowOff>
    </xdr:from>
    <xdr:to>
      <xdr:col>24</xdr:col>
      <xdr:colOff>304800</xdr:colOff>
      <xdr:row>21</xdr:row>
      <xdr:rowOff>0</xdr:rowOff>
    </xdr:to>
    <xdr:graphicFrame macro="">
      <xdr:nvGraphicFramePr>
        <xdr:cNvPr id="7" name="Chart 6">
          <a:extLst>
            <a:ext uri="{FF2B5EF4-FFF2-40B4-BE49-F238E27FC236}">
              <a16:creationId xmlns:a16="http://schemas.microsoft.com/office/drawing/2014/main" id="{0449BAC4-6687-4D49-9EC0-EAA8DCDE39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0</xdr:colOff>
      <xdr:row>39</xdr:row>
      <xdr:rowOff>0</xdr:rowOff>
    </xdr:from>
    <xdr:to>
      <xdr:col>16</xdr:col>
      <xdr:colOff>358140</xdr:colOff>
      <xdr:row>54</xdr:row>
      <xdr:rowOff>0</xdr:rowOff>
    </xdr:to>
    <xdr:graphicFrame macro="">
      <xdr:nvGraphicFramePr>
        <xdr:cNvPr id="10" name="Chart 9">
          <a:extLst>
            <a:ext uri="{FF2B5EF4-FFF2-40B4-BE49-F238E27FC236}">
              <a16:creationId xmlns:a16="http://schemas.microsoft.com/office/drawing/2014/main" id="{9EB66136-0B11-4323-944A-A3A55D0D9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23</xdr:col>
      <xdr:colOff>259080</xdr:colOff>
      <xdr:row>26</xdr:row>
      <xdr:rowOff>175260</xdr:rowOff>
    </xdr:from>
    <xdr:to>
      <xdr:col>26</xdr:col>
      <xdr:colOff>259080</xdr:colOff>
      <xdr:row>41</xdr:row>
      <xdr:rowOff>13335</xdr:rowOff>
    </xdr:to>
    <mc:AlternateContent xmlns:mc="http://schemas.openxmlformats.org/markup-compatibility/2006">
      <mc:Choice xmlns:a14="http://schemas.microsoft.com/office/drawing/2010/main" Requires="a14">
        <xdr:graphicFrame macro="">
          <xdr:nvGraphicFramePr>
            <xdr:cNvPr id="11" name="Department">
              <a:extLst>
                <a:ext uri="{FF2B5EF4-FFF2-40B4-BE49-F238E27FC236}">
                  <a16:creationId xmlns:a16="http://schemas.microsoft.com/office/drawing/2014/main" id="{FAD59197-0762-B96F-F430-3DF28BF1F90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4279880" y="4930140"/>
              <a:ext cx="1828800" cy="25812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144780</xdr:colOff>
      <xdr:row>26</xdr:row>
      <xdr:rowOff>160020</xdr:rowOff>
    </xdr:from>
    <xdr:to>
      <xdr:col>23</xdr:col>
      <xdr:colOff>144780</xdr:colOff>
      <xdr:row>40</xdr:row>
      <xdr:rowOff>180975</xdr:rowOff>
    </xdr:to>
    <mc:AlternateContent xmlns:mc="http://schemas.openxmlformats.org/markup-compatibility/2006">
      <mc:Choice xmlns:a14="http://schemas.microsoft.com/office/drawing/2010/main" Requires="a14">
        <xdr:graphicFrame macro="">
          <xdr:nvGraphicFramePr>
            <xdr:cNvPr id="12" name="Country">
              <a:extLst>
                <a:ext uri="{FF2B5EF4-FFF2-40B4-BE49-F238E27FC236}">
                  <a16:creationId xmlns:a16="http://schemas.microsoft.com/office/drawing/2014/main" id="{714D80F4-73C3-3FC7-97E0-A22B9C202E3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336780" y="4914900"/>
              <a:ext cx="1828800" cy="25812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601980</xdr:colOff>
      <xdr:row>26</xdr:row>
      <xdr:rowOff>160020</xdr:rowOff>
    </xdr:from>
    <xdr:to>
      <xdr:col>19</xdr:col>
      <xdr:colOff>601980</xdr:colOff>
      <xdr:row>40</xdr:row>
      <xdr:rowOff>180975</xdr:rowOff>
    </xdr:to>
    <mc:AlternateContent xmlns:mc="http://schemas.openxmlformats.org/markup-compatibility/2006">
      <mc:Choice xmlns:a14="http://schemas.microsoft.com/office/drawing/2010/main" Requires="a14">
        <xdr:graphicFrame macro="">
          <xdr:nvGraphicFramePr>
            <xdr:cNvPr id="13" name="City">
              <a:extLst>
                <a:ext uri="{FF2B5EF4-FFF2-40B4-BE49-F238E27FC236}">
                  <a16:creationId xmlns:a16="http://schemas.microsoft.com/office/drawing/2014/main" id="{ED527530-D7C0-C552-5BA5-D96800242FD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355580" y="4914900"/>
              <a:ext cx="1828800" cy="25812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7620</xdr:colOff>
      <xdr:row>42</xdr:row>
      <xdr:rowOff>7620</xdr:rowOff>
    </xdr:from>
    <xdr:to>
      <xdr:col>26</xdr:col>
      <xdr:colOff>243840</xdr:colOff>
      <xdr:row>49</xdr:row>
      <xdr:rowOff>99060</xdr:rowOff>
    </xdr:to>
    <mc:AlternateContent xmlns:mc="http://schemas.openxmlformats.org/markup-compatibility/2006">
      <mc:Choice xmlns:tsle="http://schemas.microsoft.com/office/drawing/2012/timeslicer" Requires="tsle">
        <xdr:graphicFrame macro="">
          <xdr:nvGraphicFramePr>
            <xdr:cNvPr id="14" name="HireDate">
              <a:extLst>
                <a:ext uri="{FF2B5EF4-FFF2-40B4-BE49-F238E27FC236}">
                  <a16:creationId xmlns:a16="http://schemas.microsoft.com/office/drawing/2014/main" id="{4D1A6634-6059-4C79-6158-715982CDC0DC}"/>
                </a:ext>
              </a:extLst>
            </xdr:cNvPr>
            <xdr:cNvGraphicFramePr/>
          </xdr:nvGraphicFramePr>
          <xdr:xfrm>
            <a:off x="0" y="0"/>
            <a:ext cx="0" cy="0"/>
          </xdr:xfrm>
          <a:graphic>
            <a:graphicData uri="http://schemas.microsoft.com/office/drawing/2012/timeslicer">
              <tsle:timeslicer xmlns:tsle="http://schemas.microsoft.com/office/drawing/2012/timeslicer" name="HireDate"/>
            </a:graphicData>
          </a:graphic>
        </xdr:graphicFrame>
      </mc:Choice>
      <mc:Fallback>
        <xdr:sp macro="" textlink="">
          <xdr:nvSpPr>
            <xdr:cNvPr id="0" name=""/>
            <xdr:cNvSpPr>
              <a:spLocks noTextEdit="1"/>
            </xdr:cNvSpPr>
          </xdr:nvSpPr>
          <xdr:spPr>
            <a:xfrm>
              <a:off x="10370820" y="7688580"/>
              <a:ext cx="5722620" cy="1371600"/>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audeen Naffisat Ajoke" refreshedDate="45940.861910995372" createdVersion="8" refreshedVersion="8" minRefreshableVersion="3" recordCount="30" xr:uid="{07629F89-042A-4976-9E60-2A1DD982149B}">
  <cacheSource type="worksheet">
    <worksheetSource name="Page001"/>
  </cacheSource>
  <cacheFields count="13">
    <cacheField name="EmpID" numFmtId="0">
      <sharedItems/>
    </cacheField>
    <cacheField name="FullName" numFmtId="49">
      <sharedItems count="30">
        <s v="Laura Doe"/>
        <s v="John Brown"/>
        <s v="Jane Smith"/>
        <s v="James Johnson"/>
        <s v="Sophia Lee"/>
        <s v="David Kim"/>
        <s v="Emma Garcia"/>
        <s v="Daniel Scott"/>
        <s v="Olivia Miller"/>
        <s v="William Davis"/>
        <s v="Ethan Wilson"/>
        <s v="Ava Taylor"/>
        <s v="Michael Clark"/>
        <s v="Isabella White"/>
        <s v="Alexander Hall"/>
        <s v="Mia Young"/>
        <s v="Jacob Allen"/>
        <s v="Charlotte King"/>
        <s v="Henry Wright"/>
        <s v="Amelia Adams"/>
        <s v="Lucas Nelson"/>
        <s v="Harper Baker"/>
        <s v="Daniel Perez"/>
        <s v="Evelyn Rivera"/>
        <s v="Matthew Carter"/>
        <s v="Sofia Mitchell"/>
        <s v="Benjamin Roberts"/>
        <s v="Abigail Turner"/>
        <s v="Joseph Phillips"/>
        <s v="Emily Campbell"/>
      </sharedItems>
    </cacheField>
    <cacheField name="JobTitle" numFmtId="49">
      <sharedItems count="23">
        <s v="HR Specialist"/>
        <s v="Data Analyst"/>
        <s v="Developer"/>
        <s v="Project Manager"/>
        <s v="Data Scientist"/>
        <s v="Financial Analyst"/>
        <s v="Designer"/>
        <s v="Software Engineer"/>
        <s v="Product Manager"/>
        <s v="HR Manager"/>
        <s v="Support Engineer"/>
        <s v="Marketing Specialist"/>
        <s v="DevOps Engineer"/>
        <s v="Recruiter"/>
        <s v="UI/UX Designer"/>
        <s v="Accountant"/>
        <s v="Marketing Analyst"/>
        <s v="Product Owner"/>
        <s v="Customer Support"/>
        <s v="Data Engineer"/>
        <s v="Sales Executive"/>
        <s v="HR Generalist"/>
        <s v="Marketing Manager"/>
      </sharedItems>
    </cacheField>
    <cacheField name="Department" numFmtId="49">
      <sharedItems count="6">
        <s v="Finance"/>
        <s v="IT"/>
        <s v="Sales"/>
        <s v="Operations"/>
        <s v="Marketing"/>
        <s v="HR"/>
      </sharedItems>
    </cacheField>
    <cacheField name="HireDate" numFmtId="14">
      <sharedItems containsSemiMixedTypes="0" containsNonDate="0" containsDate="1" containsString="0" minDate="2012-02-14T00:00:00" maxDate="2022-07-14T00:00:00" count="30">
        <d v="2012-02-14T00:00:00"/>
        <d v="2018-10-07T00:00:00"/>
        <d v="2019-10-24T00:00:00"/>
        <d v="2016-06-01T00:00:00"/>
        <d v="2020-03-15T00:00:00"/>
        <d v="2015-09-21T00:00:00"/>
        <d v="2017-12-11T00:00:00"/>
        <d v="2014-07-25T00:00:00"/>
        <d v="2019-01-09T00:00:00"/>
        <d v="2013-05-30T00:00:00"/>
        <d v="2018-02-17T00:00:00"/>
        <d v="2021-06-20T00:00:00"/>
        <d v="2016-08-05T00:00:00"/>
        <d v="2017-10-19T00:00:00"/>
        <d v="2014-11-25T00:00:00"/>
        <d v="2019-04-14T00:00:00"/>
        <d v="2015-01-09T00:00:00"/>
        <d v="2022-07-13T00:00:00"/>
        <d v="2013-03-18T00:00:00"/>
        <d v="2020-08-29T00:00:00"/>
        <d v="2016-12-02T00:00:00"/>
        <d v="2018-09-17T00:00:00"/>
        <d v="2012-04-22T00:00:00"/>
        <d v="2019-07-03T00:00:00"/>
        <d v="2017-05-30T00:00:00"/>
        <d v="2014-10-27T00:00:00"/>
        <d v="2016-01-11T00:00:00"/>
        <d v="2015-07-19T00:00:00"/>
        <d v="2018-11-05T00:00:00"/>
        <d v="2013-09-23T00:00:00"/>
      </sharedItems>
      <fieldGroup par="12"/>
    </cacheField>
    <cacheField name="Salary" numFmtId="164">
      <sharedItems containsSemiMixedTypes="0" containsString="0" containsNumber="1" minValue="58200.800000000003" maxValue="134800.95000000001"/>
    </cacheField>
    <cacheField name="YearsExperience" numFmtId="2">
      <sharedItems containsSemiMixedTypes="0" containsString="0" containsNumber="1" minValue="1.3" maxValue="15"/>
    </cacheField>
    <cacheField name="Country" numFmtId="49">
      <sharedItems count="6">
        <s v="Canada"/>
        <s v="UK"/>
        <s v="USA"/>
        <s v="India"/>
        <s v="France"/>
        <s v="Germany"/>
      </sharedItems>
    </cacheField>
    <cacheField name="City" numFmtId="49">
      <sharedItems count="23">
        <s v="Toronto"/>
        <s v="Berlin"/>
        <s v="New York"/>
        <s v="Delhi"/>
        <s v="Paris"/>
        <s v="Chicago"/>
        <s v="Montreal"/>
        <s v="Boston"/>
        <s v="Lyon"/>
        <s v="Mumbai"/>
        <s v="Vancouver"/>
        <s v="London"/>
        <s v="Miami"/>
        <s v="Bangalore"/>
        <s v="Manchester"/>
        <s v="Hamburg"/>
        <s v="San Francisco"/>
        <s v="Bristol"/>
        <s v="Hyderabad"/>
        <s v="Ottawa"/>
        <s v="Atlanta"/>
        <s v="Chennai"/>
        <s v="Liverpool"/>
      </sharedItems>
    </cacheField>
    <cacheField name="employees_10yrs_plus" numFmtId="0">
      <sharedItems/>
    </cacheField>
    <cacheField name="Months (HireDate)" numFmtId="0" databaseField="0">
      <fieldGroup base="4">
        <rangePr groupBy="months" startDate="2012-02-14T00:00:00" endDate="2022-07-14T00:00:00"/>
        <groupItems count="14">
          <s v="&lt;2012-02-14"/>
          <s v="Jan"/>
          <s v="Feb"/>
          <s v="Mar"/>
          <s v="Apr"/>
          <s v="May"/>
          <s v="Jun"/>
          <s v="Jul"/>
          <s v="Aug"/>
          <s v="Sep"/>
          <s v="Oct"/>
          <s v="Nov"/>
          <s v="Dec"/>
          <s v="&gt;2022-07-14"/>
        </groupItems>
      </fieldGroup>
    </cacheField>
    <cacheField name="Quarters (HireDate)" numFmtId="0" databaseField="0">
      <fieldGroup base="4">
        <rangePr groupBy="quarters" startDate="2012-02-14T00:00:00" endDate="2022-07-14T00:00:00"/>
        <groupItems count="6">
          <s v="&lt;2012-02-14"/>
          <s v="Qtr1"/>
          <s v="Qtr2"/>
          <s v="Qtr3"/>
          <s v="Qtr4"/>
          <s v="&gt;2022-07-14"/>
        </groupItems>
      </fieldGroup>
    </cacheField>
    <cacheField name="Years (HireDate)" numFmtId="0" databaseField="0">
      <fieldGroup base="4">
        <rangePr groupBy="years" startDate="2012-02-14T00:00:00" endDate="2022-07-14T00:00:00"/>
        <groupItems count="13">
          <s v="&lt;2012-02-14"/>
          <s v="2012"/>
          <s v="2013"/>
          <s v="2014"/>
          <s v="2015"/>
          <s v="2016"/>
          <s v="2017"/>
          <s v="2018"/>
          <s v="2019"/>
          <s v="2020"/>
          <s v="2021"/>
          <s v="2022"/>
          <s v="&gt;2022-07-14"/>
        </groupItems>
      </fieldGroup>
    </cacheField>
  </cacheFields>
  <extLst>
    <ext xmlns:x14="http://schemas.microsoft.com/office/spreadsheetml/2009/9/main" uri="{725AE2AE-9491-48be-B2B4-4EB974FC3084}">
      <x14:pivotCacheDefinition pivotCacheId="14858547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EMP001"/>
    <x v="0"/>
    <x v="0"/>
    <x v="0"/>
    <x v="0"/>
    <n v="78960.73"/>
    <n v="13.1"/>
    <x v="0"/>
    <x v="0"/>
    <b v="1"/>
  </r>
  <r>
    <s v="EMP002"/>
    <x v="1"/>
    <x v="1"/>
    <x v="1"/>
    <x v="1"/>
    <n v="105887.97"/>
    <n v="14.8"/>
    <x v="1"/>
    <x v="1"/>
    <b v="1"/>
  </r>
  <r>
    <s v="EMP003"/>
    <x v="2"/>
    <x v="2"/>
    <x v="2"/>
    <x v="2"/>
    <n v="97023.2"/>
    <n v="1.3"/>
    <x v="0"/>
    <x v="1"/>
    <b v="0"/>
  </r>
  <r>
    <s v="EMP004"/>
    <x v="3"/>
    <x v="3"/>
    <x v="3"/>
    <x v="3"/>
    <n v="125500"/>
    <n v="11.4"/>
    <x v="2"/>
    <x v="2"/>
    <b v="1"/>
  </r>
  <r>
    <s v="EMP005"/>
    <x v="4"/>
    <x v="4"/>
    <x v="1"/>
    <x v="4"/>
    <n v="115450.5"/>
    <n v="4.5"/>
    <x v="3"/>
    <x v="3"/>
    <b v="0"/>
  </r>
  <r>
    <s v="EMP006"/>
    <x v="5"/>
    <x v="5"/>
    <x v="0"/>
    <x v="5"/>
    <n v="98400.75"/>
    <n v="9.6999999999999993"/>
    <x v="0"/>
    <x v="0"/>
    <b v="0"/>
  </r>
  <r>
    <s v="EMP007"/>
    <x v="6"/>
    <x v="6"/>
    <x v="4"/>
    <x v="6"/>
    <n v="76500.2"/>
    <n v="6.1"/>
    <x v="4"/>
    <x v="4"/>
    <b v="0"/>
  </r>
  <r>
    <s v="EMP008"/>
    <x v="7"/>
    <x v="7"/>
    <x v="1"/>
    <x v="7"/>
    <n v="134200"/>
    <n v="12"/>
    <x v="2"/>
    <x v="5"/>
    <b v="1"/>
  </r>
  <r>
    <s v="EMP009"/>
    <x v="8"/>
    <x v="8"/>
    <x v="2"/>
    <x v="8"/>
    <n v="112300.65"/>
    <n v="3.9"/>
    <x v="5"/>
    <x v="1"/>
    <b v="0"/>
  </r>
  <r>
    <s v="EMP010"/>
    <x v="9"/>
    <x v="9"/>
    <x v="5"/>
    <x v="9"/>
    <n v="89400.8"/>
    <n v="14.2"/>
    <x v="0"/>
    <x v="6"/>
    <b v="1"/>
  </r>
  <r>
    <s v="EMP011"/>
    <x v="10"/>
    <x v="10"/>
    <x v="1"/>
    <x v="10"/>
    <n v="68500.899999999994"/>
    <n v="5.7"/>
    <x v="2"/>
    <x v="7"/>
    <b v="0"/>
  </r>
  <r>
    <s v="EMP012"/>
    <x v="11"/>
    <x v="11"/>
    <x v="4"/>
    <x v="11"/>
    <n v="60200.45"/>
    <n v="2.1"/>
    <x v="4"/>
    <x v="8"/>
    <b v="0"/>
  </r>
  <r>
    <s v="EMP013"/>
    <x v="12"/>
    <x v="12"/>
    <x v="1"/>
    <x v="12"/>
    <n v="121300.1"/>
    <n v="8.5"/>
    <x v="3"/>
    <x v="9"/>
    <b v="0"/>
  </r>
  <r>
    <s v="EMP014"/>
    <x v="13"/>
    <x v="1"/>
    <x v="0"/>
    <x v="13"/>
    <n v="99800.75"/>
    <n v="7.3"/>
    <x v="0"/>
    <x v="10"/>
    <b v="0"/>
  </r>
  <r>
    <s v="EMP015"/>
    <x v="14"/>
    <x v="2"/>
    <x v="2"/>
    <x v="14"/>
    <n v="109500.25"/>
    <n v="10.199999999999999"/>
    <x v="1"/>
    <x v="11"/>
    <b v="1"/>
  </r>
  <r>
    <s v="EMP016"/>
    <x v="15"/>
    <x v="13"/>
    <x v="5"/>
    <x v="15"/>
    <n v="71500.55"/>
    <n v="4"/>
    <x v="2"/>
    <x v="12"/>
    <b v="0"/>
  </r>
  <r>
    <s v="EMP017"/>
    <x v="16"/>
    <x v="14"/>
    <x v="4"/>
    <x v="16"/>
    <n v="85000.65"/>
    <n v="9.5"/>
    <x v="4"/>
    <x v="4"/>
    <b v="0"/>
  </r>
  <r>
    <s v="EMP018"/>
    <x v="17"/>
    <x v="4"/>
    <x v="1"/>
    <x v="17"/>
    <n v="125700.85"/>
    <n v="2.5"/>
    <x v="3"/>
    <x v="13"/>
    <b v="0"/>
  </r>
  <r>
    <s v="EMP019"/>
    <x v="18"/>
    <x v="15"/>
    <x v="0"/>
    <x v="18"/>
    <n v="88000.4"/>
    <n v="15"/>
    <x v="0"/>
    <x v="0"/>
    <b v="1"/>
  </r>
  <r>
    <s v="EMP020"/>
    <x v="19"/>
    <x v="7"/>
    <x v="1"/>
    <x v="19"/>
    <n v="104500.7"/>
    <n v="3.3"/>
    <x v="1"/>
    <x v="14"/>
    <b v="0"/>
  </r>
  <r>
    <s v="EMP021"/>
    <x v="20"/>
    <x v="0"/>
    <x v="5"/>
    <x v="20"/>
    <n v="78200.350000000006"/>
    <n v="6.9"/>
    <x v="2"/>
    <x v="5"/>
    <b v="0"/>
  </r>
  <r>
    <s v="EMP022"/>
    <x v="21"/>
    <x v="16"/>
    <x v="4"/>
    <x v="21"/>
    <n v="69800.25"/>
    <n v="5.2"/>
    <x v="5"/>
    <x v="15"/>
    <b v="0"/>
  </r>
  <r>
    <s v="EMP023"/>
    <x v="22"/>
    <x v="17"/>
    <x v="3"/>
    <x v="22"/>
    <n v="134800.95000000001"/>
    <n v="14.6"/>
    <x v="2"/>
    <x v="16"/>
    <b v="1"/>
  </r>
  <r>
    <s v="EMP024"/>
    <x v="23"/>
    <x v="18"/>
    <x v="2"/>
    <x v="23"/>
    <n v="58200.800000000003"/>
    <n v="3.1"/>
    <x v="1"/>
    <x v="17"/>
    <b v="0"/>
  </r>
  <r>
    <s v="EMP025"/>
    <x v="24"/>
    <x v="5"/>
    <x v="0"/>
    <x v="24"/>
    <n v="93600.6"/>
    <n v="7.7"/>
    <x v="3"/>
    <x v="18"/>
    <b v="0"/>
  </r>
  <r>
    <s v="EMP026"/>
    <x v="25"/>
    <x v="19"/>
    <x v="1"/>
    <x v="25"/>
    <n v="128300.2"/>
    <n v="11.1"/>
    <x v="4"/>
    <x v="4"/>
    <b v="1"/>
  </r>
  <r>
    <s v="EMP027"/>
    <x v="26"/>
    <x v="20"/>
    <x v="2"/>
    <x v="26"/>
    <n v="74500.350000000006"/>
    <n v="8.1999999999999993"/>
    <x v="0"/>
    <x v="19"/>
    <b v="0"/>
  </r>
  <r>
    <s v="EMP028"/>
    <x v="27"/>
    <x v="21"/>
    <x v="5"/>
    <x v="27"/>
    <n v="81000.55"/>
    <n v="9.9"/>
    <x v="2"/>
    <x v="20"/>
    <b v="0"/>
  </r>
  <r>
    <s v="EMP029"/>
    <x v="28"/>
    <x v="2"/>
    <x v="1"/>
    <x v="28"/>
    <n v="115800"/>
    <n v="5.4"/>
    <x v="3"/>
    <x v="21"/>
    <b v="0"/>
  </r>
  <r>
    <s v="EMP030"/>
    <x v="29"/>
    <x v="22"/>
    <x v="4"/>
    <x v="29"/>
    <n v="99500.75"/>
    <n v="12.7"/>
    <x v="1"/>
    <x v="22"/>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E9BA68-4383-49D0-8D71-73D7ED306A18}" name="PivotTable10"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15" firstHeaderRow="1" firstDataRow="1" firstDataCol="1"/>
  <pivotFields count="13">
    <pivotField dataField="1" showAll="0"/>
    <pivotField showAll="0"/>
    <pivotField showAll="0"/>
    <pivotField showAll="0">
      <items count="7">
        <item x="0"/>
        <item x="5"/>
        <item x="1"/>
        <item x="4"/>
        <item x="3"/>
        <item x="2"/>
        <item t="default"/>
      </items>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numFmtId="164" showAll="0"/>
    <pivotField numFmtId="2" showAll="0"/>
    <pivotField showAll="0">
      <items count="7">
        <item x="0"/>
        <item x="4"/>
        <item x="5"/>
        <item x="3"/>
        <item x="1"/>
        <item x="2"/>
        <item t="default"/>
      </items>
    </pivotField>
    <pivotField showAll="0">
      <items count="24">
        <item x="20"/>
        <item x="13"/>
        <item x="1"/>
        <item x="7"/>
        <item x="17"/>
        <item x="21"/>
        <item x="5"/>
        <item x="3"/>
        <item x="15"/>
        <item x="18"/>
        <item x="22"/>
        <item x="11"/>
        <item x="8"/>
        <item x="14"/>
        <item x="12"/>
        <item x="6"/>
        <item x="9"/>
        <item x="2"/>
        <item x="19"/>
        <item x="4"/>
        <item x="16"/>
        <item x="0"/>
        <item x="10"/>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4">
        <item sd="0" x="0"/>
        <item sd="0" x="1"/>
        <item sd="0" x="2"/>
        <item sd="0" x="3"/>
        <item sd="0" x="4"/>
        <item sd="0" x="5"/>
        <item sd="0" x="6"/>
        <item sd="0" x="7"/>
        <item sd="0" x="8"/>
        <item sd="0" x="9"/>
        <item sd="0" x="10"/>
        <item sd="0" x="11"/>
        <item sd="0" x="12"/>
        <item t="default"/>
      </items>
    </pivotField>
  </pivotFields>
  <rowFields count="3">
    <field x="12"/>
    <field x="11"/>
    <field x="10"/>
  </rowFields>
  <rowItems count="12">
    <i>
      <x v="1"/>
    </i>
    <i>
      <x v="2"/>
    </i>
    <i>
      <x v="3"/>
    </i>
    <i>
      <x v="4"/>
    </i>
    <i>
      <x v="5"/>
    </i>
    <i>
      <x v="6"/>
    </i>
    <i>
      <x v="7"/>
    </i>
    <i>
      <x v="8"/>
    </i>
    <i>
      <x v="9"/>
    </i>
    <i>
      <x v="10"/>
    </i>
    <i>
      <x v="11"/>
    </i>
    <i t="grand">
      <x/>
    </i>
  </rowItems>
  <colItems count="1">
    <i/>
  </colItems>
  <dataFields count="1">
    <dataField name="Count of EmpID"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5905AB-E744-4106-92B5-4CDCB465C4C6}" name="PivotTable12"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2" rowHeaderCaption="Department">
  <location ref="A3:B6" firstHeaderRow="1" firstDataRow="1" firstDataCol="1"/>
  <pivotFields count="13">
    <pivotField showAll="0"/>
    <pivotField showAll="0"/>
    <pivotField showAll="0"/>
    <pivotField axis="axisRow" showAll="0" measureFilter="1" sortType="descending">
      <items count="7">
        <item x="0"/>
        <item x="5"/>
        <item x="1"/>
        <item x="4"/>
        <item x="3"/>
        <item x="2"/>
        <item t="default"/>
      </items>
      <autoSortScope>
        <pivotArea dataOnly="0" outline="0" fieldPosition="0">
          <references count="1">
            <reference field="4294967294" count="1" selected="0">
              <x v="0"/>
            </reference>
          </references>
        </pivotArea>
      </autoSortScope>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numFmtId="164" showAll="0"/>
    <pivotField dataField="1" numFmtId="2" showAll="0"/>
    <pivotField showAll="0">
      <items count="7">
        <item x="0"/>
        <item x="4"/>
        <item x="5"/>
        <item x="3"/>
        <item x="1"/>
        <item x="2"/>
        <item t="default"/>
      </items>
    </pivotField>
    <pivotField showAll="0">
      <items count="24">
        <item x="20"/>
        <item x="13"/>
        <item x="1"/>
        <item x="7"/>
        <item x="17"/>
        <item x="21"/>
        <item x="5"/>
        <item x="3"/>
        <item x="15"/>
        <item x="18"/>
        <item x="22"/>
        <item x="11"/>
        <item x="8"/>
        <item x="14"/>
        <item x="12"/>
        <item x="6"/>
        <item x="9"/>
        <item x="2"/>
        <item x="19"/>
        <item x="4"/>
        <item x="16"/>
        <item x="0"/>
        <item x="10"/>
        <item t="default"/>
      </items>
    </pivotField>
    <pivotField showAll="0"/>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3"/>
  </rowFields>
  <rowItems count="3">
    <i>
      <x v="4"/>
    </i>
    <i>
      <x/>
    </i>
    <i>
      <x v="1"/>
    </i>
  </rowItems>
  <colItems count="1">
    <i/>
  </colItems>
  <dataFields count="1">
    <dataField name="Average of YearsExperience" fld="6" subtotal="average" baseField="3" baseItem="0" numFmtId="2"/>
  </dataFields>
  <chartFormats count="3">
    <chartFormat chart="11" format="4"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0CA05C-1D57-4097-9D45-28612B12B079}" name="PivotTable1"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5" rowHeaderCaption="Department">
  <location ref="A3:B9" firstHeaderRow="1" firstDataRow="1" firstDataCol="1"/>
  <pivotFields count="13">
    <pivotField showAll="0"/>
    <pivotField showAll="0"/>
    <pivotField showAll="0"/>
    <pivotField axis="axisRow" showAll="0" measureFilter="1" sortType="ascending">
      <items count="7">
        <item x="0"/>
        <item x="5"/>
        <item x="1"/>
        <item x="4"/>
        <item x="3"/>
        <item x="2"/>
        <item t="default"/>
      </items>
      <autoSortScope>
        <pivotArea dataOnly="0" outline="0" fieldPosition="0">
          <references count="1">
            <reference field="4294967294" count="1" selected="0">
              <x v="0"/>
            </reference>
          </references>
        </pivotArea>
      </autoSortScope>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showAll="0"/>
    <pivotField dataField="1" showAll="0"/>
    <pivotField showAll="0">
      <items count="7">
        <item x="0"/>
        <item x="4"/>
        <item x="5"/>
        <item x="3"/>
        <item x="1"/>
        <item x="2"/>
        <item t="default"/>
      </items>
    </pivotField>
    <pivotField showAll="0">
      <items count="24">
        <item x="20"/>
        <item x="13"/>
        <item x="1"/>
        <item x="7"/>
        <item x="17"/>
        <item x="21"/>
        <item x="5"/>
        <item x="3"/>
        <item x="15"/>
        <item x="18"/>
        <item x="22"/>
        <item x="11"/>
        <item x="8"/>
        <item x="14"/>
        <item x="12"/>
        <item x="6"/>
        <item x="9"/>
        <item x="2"/>
        <item x="19"/>
        <item x="4"/>
        <item x="16"/>
        <item x="0"/>
        <item x="1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3"/>
  </rowFields>
  <rowItems count="6">
    <i>
      <x v="5"/>
    </i>
    <i>
      <x v="3"/>
    </i>
    <i>
      <x v="2"/>
    </i>
    <i>
      <x v="1"/>
    </i>
    <i>
      <x/>
    </i>
    <i>
      <x v="4"/>
    </i>
  </rowItems>
  <colItems count="1">
    <i/>
  </colItems>
  <dataFields count="1">
    <dataField name="Average of YearsExperience" fld="6" subtotal="average" baseField="3"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1" filterVal="1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143568-02C0-4448-B7D6-DD47291B058D}" name="PivotTable11"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1" rowHeaderCaption="Department">
  <location ref="A27:B33" firstHeaderRow="1" firstDataRow="1" firstDataCol="1"/>
  <pivotFields count="13">
    <pivotField showAll="0"/>
    <pivotField showAll="0"/>
    <pivotField showAll="0"/>
    <pivotField showAll="0">
      <items count="7">
        <item x="0"/>
        <item x="5"/>
        <item x="1"/>
        <item x="4"/>
        <item x="3"/>
        <item x="2"/>
        <item t="default"/>
      </items>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dataField="1" showAll="0"/>
    <pivotField showAll="0"/>
    <pivotField axis="axisRow" showAll="0" sortType="ascending">
      <items count="7">
        <item x="0"/>
        <item x="4"/>
        <item x="5"/>
        <item x="3"/>
        <item x="1"/>
        <item x="2"/>
        <item t="default"/>
      </items>
      <autoSortScope>
        <pivotArea dataOnly="0" outline="0" fieldPosition="0">
          <references count="1">
            <reference field="4294967294" count="1" selected="0">
              <x v="0"/>
            </reference>
          </references>
        </pivotArea>
      </autoSortScope>
    </pivotField>
    <pivotField showAll="0">
      <items count="24">
        <item x="20"/>
        <item x="13"/>
        <item x="1"/>
        <item x="7"/>
        <item x="17"/>
        <item x="21"/>
        <item x="5"/>
        <item x="3"/>
        <item x="15"/>
        <item x="18"/>
        <item x="22"/>
        <item x="11"/>
        <item x="8"/>
        <item x="14"/>
        <item x="12"/>
        <item x="6"/>
        <item x="9"/>
        <item x="2"/>
        <item x="19"/>
        <item x="4"/>
        <item x="16"/>
        <item x="0"/>
        <item x="1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7"/>
  </rowFields>
  <rowItems count="6">
    <i>
      <x v="2"/>
    </i>
    <i>
      <x v="1"/>
    </i>
    <i>
      <x v="4"/>
    </i>
    <i>
      <x v="3"/>
    </i>
    <i>
      <x/>
    </i>
    <i>
      <x v="5"/>
    </i>
  </rowItems>
  <colItems count="1">
    <i/>
  </colItems>
  <dataFields count="1">
    <dataField name="Total Salary" fld="5" baseField="3" baseItem="4"/>
  </dataFields>
  <formats count="2">
    <format dxfId="36">
      <pivotArea outline="0" collapsedLevelsAreSubtotals="1" fieldPosition="0"/>
    </format>
    <format dxfId="37">
      <pivotArea dataOnly="0" labelOnly="1" outline="0" axis="axisValues" fieldPosition="0"/>
    </format>
  </formats>
  <chartFormats count="4">
    <chartFormat chart="0"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6BAA3C-D818-4B51-8306-459D15991B7B}" name="PivotTable2"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6" rowHeaderCaption="Department">
  <location ref="A3:C9" firstHeaderRow="0" firstDataRow="1" firstDataCol="1"/>
  <pivotFields count="13">
    <pivotField showAll="0"/>
    <pivotField showAll="0"/>
    <pivotField showAll="0"/>
    <pivotField axis="axisRow" showAll="0" sortType="descending">
      <items count="7">
        <item x="0"/>
        <item x="5"/>
        <item x="1"/>
        <item x="4"/>
        <item x="3"/>
        <item x="2"/>
        <item t="default"/>
      </items>
      <autoSortScope>
        <pivotArea dataOnly="0" outline="0" fieldPosition="0">
          <references count="1">
            <reference field="4294967294" count="1" selected="0">
              <x v="0"/>
            </reference>
          </references>
        </pivotArea>
      </autoSortScope>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dataField="1" showAll="0"/>
    <pivotField showAll="0"/>
    <pivotField showAll="0">
      <items count="7">
        <item x="0"/>
        <item x="4"/>
        <item x="5"/>
        <item x="3"/>
        <item x="1"/>
        <item x="2"/>
        <item t="default"/>
      </items>
    </pivotField>
    <pivotField showAll="0">
      <items count="24">
        <item x="20"/>
        <item x="13"/>
        <item x="1"/>
        <item x="7"/>
        <item x="17"/>
        <item x="21"/>
        <item x="5"/>
        <item x="3"/>
        <item x="15"/>
        <item x="18"/>
        <item x="22"/>
        <item x="11"/>
        <item x="8"/>
        <item x="14"/>
        <item x="12"/>
        <item x="6"/>
        <item x="9"/>
        <item x="2"/>
        <item x="19"/>
        <item x="4"/>
        <item x="16"/>
        <item x="0"/>
        <item x="1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3"/>
  </rowFields>
  <rowItems count="6">
    <i>
      <x v="4"/>
    </i>
    <i>
      <x v="2"/>
    </i>
    <i>
      <x/>
    </i>
    <i>
      <x v="5"/>
    </i>
    <i>
      <x v="1"/>
    </i>
    <i>
      <x v="3"/>
    </i>
  </rowItems>
  <colFields count="1">
    <field x="-2"/>
  </colFields>
  <colItems count="2">
    <i>
      <x/>
    </i>
    <i i="1">
      <x v="1"/>
    </i>
  </colItems>
  <dataFields count="2">
    <dataField name="Average of Salary" fld="5" subtotal="average" baseField="3" baseItem="0" numFmtId="44"/>
    <dataField name="Total Salary" fld="5" baseField="3" baseItem="4"/>
  </dataFields>
  <formats count="2">
    <format dxfId="40">
      <pivotArea outline="0" collapsedLevelsAreSubtotals="1" fieldPosition="0"/>
    </format>
    <format dxfId="39">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9E578E-4D3F-4876-820A-0F8578C755EE}" name="PivotTable13"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ity">
  <location ref="A18:B19" firstHeaderRow="1" firstDataRow="1" firstDataCol="1"/>
  <pivotFields count="13">
    <pivotField showAll="0"/>
    <pivotField showAll="0"/>
    <pivotField showAll="0"/>
    <pivotField showAll="0">
      <items count="7">
        <item x="0"/>
        <item x="5"/>
        <item x="1"/>
        <item x="4"/>
        <item x="3"/>
        <item x="2"/>
        <item t="default"/>
      </items>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dataField="1" numFmtId="164" showAll="0"/>
    <pivotField numFmtId="2" showAll="0"/>
    <pivotField showAll="0">
      <items count="7">
        <item x="0"/>
        <item x="4"/>
        <item x="5"/>
        <item x="3"/>
        <item x="1"/>
        <item x="2"/>
        <item t="default"/>
      </items>
    </pivotField>
    <pivotField axis="axisRow" showAll="0" measureFilter="1" sortType="descending">
      <items count="24">
        <item x="10"/>
        <item x="0"/>
        <item x="16"/>
        <item x="4"/>
        <item x="19"/>
        <item x="2"/>
        <item x="9"/>
        <item x="6"/>
        <item x="12"/>
        <item x="14"/>
        <item x="8"/>
        <item x="11"/>
        <item x="22"/>
        <item x="18"/>
        <item x="15"/>
        <item x="3"/>
        <item x="5"/>
        <item x="21"/>
        <item x="17"/>
        <item x="7"/>
        <item x="1"/>
        <item x="13"/>
        <item x="20"/>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8"/>
  </rowFields>
  <rowItems count="1">
    <i>
      <x v="20"/>
    </i>
  </rowItems>
  <colItems count="1">
    <i/>
  </colItems>
  <dataFields count="1">
    <dataField name="Sum of Salary" fld="5" baseField="0" baseItem="0" numFmtId="164"/>
  </dataFields>
  <pivotTableStyleInfo name="PivotStyleLight16" showRowHeaders="1" showColHeaders="1" showRowStripes="0" showColStripes="0" showLastColumn="1"/>
  <filters count="1">
    <filter fld="8"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2452C0-A979-42B9-9556-16CA1F8E2BDF}" name="PivotTable4"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rowHeaderCaption="City">
  <location ref="A11:B14" firstHeaderRow="1" firstDataRow="1" firstDataCol="1"/>
  <pivotFields count="13">
    <pivotField dataField="1" showAll="0"/>
    <pivotField showAll="0"/>
    <pivotField showAll="0"/>
    <pivotField showAll="0">
      <items count="7">
        <item x="0"/>
        <item x="5"/>
        <item x="1"/>
        <item x="4"/>
        <item x="3"/>
        <item x="2"/>
        <item t="default"/>
      </items>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numFmtId="164" showAll="0"/>
    <pivotField numFmtId="2" showAll="0"/>
    <pivotField showAll="0" sortType="descending">
      <items count="7">
        <item x="0"/>
        <item x="4"/>
        <item x="5"/>
        <item x="3"/>
        <item x="1"/>
        <item x="2"/>
        <item t="default"/>
      </items>
      <autoSortScope>
        <pivotArea dataOnly="0" outline="0" fieldPosition="0">
          <references count="1">
            <reference field="4294967294" count="1" selected="0">
              <x v="0"/>
            </reference>
          </references>
        </pivotArea>
      </autoSortScope>
    </pivotField>
    <pivotField axis="axisRow" showAll="0" measureFilter="1" sortType="descending">
      <items count="24">
        <item x="20"/>
        <item x="13"/>
        <item x="1"/>
        <item x="7"/>
        <item x="17"/>
        <item x="21"/>
        <item x="5"/>
        <item x="3"/>
        <item x="15"/>
        <item x="18"/>
        <item x="22"/>
        <item x="11"/>
        <item x="8"/>
        <item x="14"/>
        <item x="12"/>
        <item x="6"/>
        <item x="9"/>
        <item x="2"/>
        <item x="19"/>
        <item x="4"/>
        <item x="16"/>
        <item x="0"/>
        <item x="10"/>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8"/>
  </rowFields>
  <rowItems count="3">
    <i>
      <x v="2"/>
    </i>
    <i>
      <x v="21"/>
    </i>
    <i>
      <x v="19"/>
    </i>
  </rowItems>
  <colItems count="1">
    <i/>
  </colItems>
  <dataFields count="1">
    <dataField name="Number of Employee" fld="0" subtotal="count" baseField="0" baseItem="0"/>
  </dataFields>
  <pivotTableStyleInfo name="PivotStyleLight16" showRowHeaders="1" showColHeaders="1" showRowStripes="0" showColStripes="0" showLastColumn="1"/>
  <filters count="1">
    <filter fld="8"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862560-C053-4490-A810-79D6F84DF5E1}" name="PivotTable3"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rowHeaderCaption="Country">
  <location ref="A3:B9" firstHeaderRow="1" firstDataRow="1" firstDataCol="1"/>
  <pivotFields count="13">
    <pivotField dataField="1" showAll="0"/>
    <pivotField showAll="0"/>
    <pivotField showAll="0"/>
    <pivotField showAll="0">
      <items count="7">
        <item x="0"/>
        <item x="5"/>
        <item x="1"/>
        <item x="4"/>
        <item x="3"/>
        <item x="2"/>
        <item t="default"/>
      </items>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numFmtId="164" showAll="0"/>
    <pivotField numFmtId="2" showAll="0"/>
    <pivotField axis="axisRow" showAll="0" sortType="descending">
      <items count="7">
        <item x="0"/>
        <item x="4"/>
        <item x="5"/>
        <item x="3"/>
        <item x="1"/>
        <item x="2"/>
        <item t="default"/>
      </items>
      <autoSortScope>
        <pivotArea dataOnly="0" outline="0" fieldPosition="0">
          <references count="1">
            <reference field="4294967294" count="1" selected="0">
              <x v="0"/>
            </reference>
          </references>
        </pivotArea>
      </autoSortScope>
    </pivotField>
    <pivotField showAll="0">
      <items count="24">
        <item x="20"/>
        <item x="13"/>
        <item x="1"/>
        <item x="7"/>
        <item x="17"/>
        <item x="21"/>
        <item x="5"/>
        <item x="3"/>
        <item x="15"/>
        <item x="18"/>
        <item x="22"/>
        <item x="11"/>
        <item x="8"/>
        <item x="14"/>
        <item x="12"/>
        <item x="6"/>
        <item x="9"/>
        <item x="2"/>
        <item x="19"/>
        <item x="4"/>
        <item x="16"/>
        <item x="0"/>
        <item x="1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7"/>
  </rowFields>
  <rowItems count="6">
    <i>
      <x v="5"/>
    </i>
    <i>
      <x/>
    </i>
    <i>
      <x v="4"/>
    </i>
    <i>
      <x v="3"/>
    </i>
    <i>
      <x v="1"/>
    </i>
    <i>
      <x v="2"/>
    </i>
  </rowItems>
  <colItems count="1">
    <i/>
  </colItems>
  <dataFields count="1">
    <dataField name="Number of Employee" fld="0" subtotal="count" baseField="7" baseItem="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834313-BF63-4F31-9808-6B392D1125A8}" name="PivotTable5"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9" rowHeaderCaption="Department" colHeaderCaption="Country">
  <location ref="A3:G10" firstHeaderRow="1" firstDataRow="2" firstDataCol="1"/>
  <pivotFields count="13">
    <pivotField dataField="1" showAll="0"/>
    <pivotField showAll="0"/>
    <pivotField showAll="0"/>
    <pivotField axis="axisRow" showAll="0">
      <items count="7">
        <item x="0"/>
        <item x="5"/>
        <item x="1"/>
        <item x="4"/>
        <item x="3"/>
        <item x="2"/>
        <item t="default"/>
      </items>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numFmtId="164" showAll="0"/>
    <pivotField numFmtId="2" showAll="0"/>
    <pivotField axis="axisCol" showAll="0">
      <items count="7">
        <item x="0"/>
        <item x="4"/>
        <item x="5"/>
        <item x="3"/>
        <item x="1"/>
        <item x="2"/>
        <item t="default"/>
      </items>
    </pivotField>
    <pivotField showAll="0">
      <items count="24">
        <item x="20"/>
        <item x="13"/>
        <item x="1"/>
        <item x="7"/>
        <item x="17"/>
        <item x="21"/>
        <item x="5"/>
        <item x="3"/>
        <item x="15"/>
        <item x="18"/>
        <item x="22"/>
        <item x="11"/>
        <item x="8"/>
        <item x="14"/>
        <item x="12"/>
        <item x="6"/>
        <item x="9"/>
        <item x="2"/>
        <item x="19"/>
        <item x="4"/>
        <item x="16"/>
        <item x="0"/>
        <item x="1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3"/>
  </rowFields>
  <rowItems count="6">
    <i>
      <x/>
    </i>
    <i>
      <x v="1"/>
    </i>
    <i>
      <x v="2"/>
    </i>
    <i>
      <x v="3"/>
    </i>
    <i>
      <x v="4"/>
    </i>
    <i>
      <x v="5"/>
    </i>
  </rowItems>
  <colFields count="1">
    <field x="7"/>
  </colFields>
  <colItems count="6">
    <i>
      <x/>
    </i>
    <i>
      <x v="1"/>
    </i>
    <i>
      <x v="2"/>
    </i>
    <i>
      <x v="3"/>
    </i>
    <i>
      <x v="4"/>
    </i>
    <i>
      <x v="5"/>
    </i>
  </colItems>
  <dataFields count="1">
    <dataField name="Number of departments" fld="0" subtotal="count" baseField="0" baseItem="0"/>
  </dataFields>
  <chartFormats count="20">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 chart="1" format="2" series="1">
      <pivotArea type="data" outline="0" fieldPosition="0">
        <references count="2">
          <reference field="4294967294" count="1" selected="0">
            <x v="0"/>
          </reference>
          <reference field="7" count="1" selected="0">
            <x v="2"/>
          </reference>
        </references>
      </pivotArea>
    </chartFormat>
    <chartFormat chart="1" format="3" series="1">
      <pivotArea type="data" outline="0" fieldPosition="0">
        <references count="2">
          <reference field="4294967294" count="1" selected="0">
            <x v="0"/>
          </reference>
          <reference field="7" count="1" selected="0">
            <x v="3"/>
          </reference>
        </references>
      </pivotArea>
    </chartFormat>
    <chartFormat chart="1" format="4" series="1">
      <pivotArea type="data" outline="0" fieldPosition="0">
        <references count="2">
          <reference field="4294967294" count="1" selected="0">
            <x v="0"/>
          </reference>
          <reference field="7" count="1" selected="0">
            <x v="4"/>
          </reference>
        </references>
      </pivotArea>
    </chartFormat>
    <chartFormat chart="1" format="5" series="1">
      <pivotArea type="data" outline="0" fieldPosition="0">
        <references count="2">
          <reference field="4294967294" count="1" selected="0">
            <x v="0"/>
          </reference>
          <reference field="7" count="1" selected="0">
            <x v="5"/>
          </reference>
        </references>
      </pivotArea>
    </chartFormat>
    <chartFormat chart="6" format="6" series="1">
      <pivotArea type="data" outline="0" fieldPosition="0">
        <references count="2">
          <reference field="4294967294" count="1" selected="0">
            <x v="0"/>
          </reference>
          <reference field="7" count="1" selected="0">
            <x v="0"/>
          </reference>
        </references>
      </pivotArea>
    </chartFormat>
    <chartFormat chart="6" format="7" series="1">
      <pivotArea type="data" outline="0" fieldPosition="0">
        <references count="2">
          <reference field="4294967294" count="1" selected="0">
            <x v="0"/>
          </reference>
          <reference field="7" count="1" selected="0">
            <x v="1"/>
          </reference>
        </references>
      </pivotArea>
    </chartFormat>
    <chartFormat chart="6" format="8" series="1">
      <pivotArea type="data" outline="0" fieldPosition="0">
        <references count="2">
          <reference field="4294967294" count="1" selected="0">
            <x v="0"/>
          </reference>
          <reference field="7" count="1" selected="0">
            <x v="2"/>
          </reference>
        </references>
      </pivotArea>
    </chartFormat>
    <chartFormat chart="6" format="9" series="1">
      <pivotArea type="data" outline="0" fieldPosition="0">
        <references count="2">
          <reference field="4294967294" count="1" selected="0">
            <x v="0"/>
          </reference>
          <reference field="7" count="1" selected="0">
            <x v="3"/>
          </reference>
        </references>
      </pivotArea>
    </chartFormat>
    <chartFormat chart="6" format="10" series="1">
      <pivotArea type="data" outline="0" fieldPosition="0">
        <references count="2">
          <reference field="4294967294" count="1" selected="0">
            <x v="0"/>
          </reference>
          <reference field="7" count="1" selected="0">
            <x v="4"/>
          </reference>
        </references>
      </pivotArea>
    </chartFormat>
    <chartFormat chart="6" format="11" series="1">
      <pivotArea type="data" outline="0" fieldPosition="0">
        <references count="2">
          <reference field="4294967294" count="1" selected="0">
            <x v="0"/>
          </reference>
          <reference field="7" count="1" selected="0">
            <x v="5"/>
          </reference>
        </references>
      </pivotArea>
    </chartFormat>
    <chartFormat chart="7" format="12" series="1">
      <pivotArea type="data" outline="0" fieldPosition="0">
        <references count="2">
          <reference field="4294967294" count="1" selected="0">
            <x v="0"/>
          </reference>
          <reference field="7" count="1" selected="0">
            <x v="0"/>
          </reference>
        </references>
      </pivotArea>
    </chartFormat>
    <chartFormat chart="7" format="13" series="1">
      <pivotArea type="data" outline="0" fieldPosition="0">
        <references count="2">
          <reference field="4294967294" count="1" selected="0">
            <x v="0"/>
          </reference>
          <reference field="7" count="1" selected="0">
            <x v="1"/>
          </reference>
        </references>
      </pivotArea>
    </chartFormat>
    <chartFormat chart="7" format="14" series="1">
      <pivotArea type="data" outline="0" fieldPosition="0">
        <references count="2">
          <reference field="4294967294" count="1" selected="0">
            <x v="0"/>
          </reference>
          <reference field="7" count="1" selected="0">
            <x v="2"/>
          </reference>
        </references>
      </pivotArea>
    </chartFormat>
    <chartFormat chart="7" format="15" series="1">
      <pivotArea type="data" outline="0" fieldPosition="0">
        <references count="2">
          <reference field="4294967294" count="1" selected="0">
            <x v="0"/>
          </reference>
          <reference field="7" count="1" selected="0">
            <x v="3"/>
          </reference>
        </references>
      </pivotArea>
    </chartFormat>
    <chartFormat chart="7" format="16" series="1">
      <pivotArea type="data" outline="0" fieldPosition="0">
        <references count="2">
          <reference field="4294967294" count="1" selected="0">
            <x v="0"/>
          </reference>
          <reference field="7" count="1" selected="0">
            <x v="4"/>
          </reference>
        </references>
      </pivotArea>
    </chartFormat>
    <chartFormat chart="7" format="17" series="1">
      <pivotArea type="data" outline="0" fieldPosition="0">
        <references count="2">
          <reference field="4294967294" count="1" selected="0">
            <x v="0"/>
          </reference>
          <reference field="7" count="1" selected="0">
            <x v="5"/>
          </reference>
        </references>
      </pivotArea>
    </chartFormat>
    <chartFormat chart="7" format="18"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34DECE-1DE6-4E8C-9D77-ABB8BAFE509F}" name="PivotTable6"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5" rowHeaderCaption="Full name">
  <location ref="A3:B8" firstHeaderRow="1" firstDataRow="1" firstDataCol="1"/>
  <pivotFields count="13">
    <pivotField showAll="0"/>
    <pivotField axis="axisRow" showAll="0" measureFilter="1" sortType="descending">
      <items count="31">
        <item x="27"/>
        <item x="14"/>
        <item x="19"/>
        <item x="11"/>
        <item x="26"/>
        <item x="17"/>
        <item x="22"/>
        <item x="7"/>
        <item x="5"/>
        <item x="29"/>
        <item x="6"/>
        <item x="10"/>
        <item x="23"/>
        <item x="21"/>
        <item x="18"/>
        <item x="13"/>
        <item x="16"/>
        <item x="3"/>
        <item x="2"/>
        <item x="1"/>
        <item x="28"/>
        <item x="0"/>
        <item x="20"/>
        <item x="24"/>
        <item x="15"/>
        <item x="12"/>
        <item x="8"/>
        <item x="25"/>
        <item x="4"/>
        <item x="9"/>
        <item t="default"/>
      </items>
      <autoSortScope>
        <pivotArea dataOnly="0" outline="0" fieldPosition="0">
          <references count="1">
            <reference field="4294967294" count="1" selected="0">
              <x v="0"/>
            </reference>
          </references>
        </pivotArea>
      </autoSortScope>
    </pivotField>
    <pivotField showAll="0"/>
    <pivotField showAll="0">
      <items count="7">
        <item x="0"/>
        <item x="5"/>
        <item x="1"/>
        <item x="4"/>
        <item x="3"/>
        <item x="2"/>
        <item t="default"/>
      </items>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dataField="1" numFmtId="164" showAll="0"/>
    <pivotField numFmtId="2" showAll="0"/>
    <pivotField showAll="0">
      <items count="7">
        <item x="0"/>
        <item x="4"/>
        <item x="5"/>
        <item x="3"/>
        <item x="1"/>
        <item x="2"/>
        <item t="default"/>
      </items>
    </pivotField>
    <pivotField showAll="0">
      <items count="24">
        <item x="20"/>
        <item x="13"/>
        <item x="1"/>
        <item x="7"/>
        <item x="17"/>
        <item x="21"/>
        <item x="5"/>
        <item x="3"/>
        <item x="15"/>
        <item x="18"/>
        <item x="22"/>
        <item x="11"/>
        <item x="8"/>
        <item x="14"/>
        <item x="12"/>
        <item x="6"/>
        <item x="9"/>
        <item x="2"/>
        <item x="19"/>
        <item x="4"/>
        <item x="16"/>
        <item x="0"/>
        <item x="1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1"/>
  </rowFields>
  <rowItems count="5">
    <i>
      <x v="6"/>
    </i>
    <i>
      <x v="7"/>
    </i>
    <i>
      <x v="27"/>
    </i>
    <i>
      <x v="5"/>
    </i>
    <i>
      <x v="17"/>
    </i>
  </rowItems>
  <colItems count="1">
    <i/>
  </colItems>
  <dataFields count="1">
    <dataField name="Sum of Salary" fld="5"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345EEB-BBE7-4A19-BE78-AB3EF8DB8799}" name="PivotTable7"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rowHeaderCaption="Department">
  <location ref="A3:B4" firstHeaderRow="1" firstDataRow="1" firstDataCol="1"/>
  <pivotFields count="13">
    <pivotField showAll="0"/>
    <pivotField showAll="0" measureFilter="1" sortType="descending">
      <items count="31">
        <item x="27"/>
        <item x="14"/>
        <item x="19"/>
        <item x="11"/>
        <item x="26"/>
        <item x="17"/>
        <item x="22"/>
        <item x="7"/>
        <item x="5"/>
        <item x="29"/>
        <item x="6"/>
        <item x="10"/>
        <item x="23"/>
        <item x="21"/>
        <item x="18"/>
        <item x="13"/>
        <item x="16"/>
        <item x="3"/>
        <item x="2"/>
        <item x="1"/>
        <item x="28"/>
        <item x="0"/>
        <item x="20"/>
        <item x="24"/>
        <item x="15"/>
        <item x="12"/>
        <item x="8"/>
        <item x="25"/>
        <item x="4"/>
        <item x="9"/>
        <item t="default"/>
      </items>
      <autoSortScope>
        <pivotArea dataOnly="0" outline="0" fieldPosition="0">
          <references count="1">
            <reference field="4294967294" count="1" selected="0">
              <x v="0"/>
            </reference>
          </references>
        </pivotArea>
      </autoSortScope>
    </pivotField>
    <pivotField showAll="0"/>
    <pivotField axis="axisRow" showAll="0" measureFilter="1">
      <items count="7">
        <item x="0"/>
        <item x="5"/>
        <item x="1"/>
        <item x="4"/>
        <item x="3"/>
        <item x="2"/>
        <item t="default"/>
      </items>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dataField="1" numFmtId="164" showAll="0"/>
    <pivotField numFmtId="2" showAll="0"/>
    <pivotField showAll="0">
      <items count="7">
        <item x="0"/>
        <item x="4"/>
        <item x="5"/>
        <item x="3"/>
        <item x="1"/>
        <item x="2"/>
        <item t="default"/>
      </items>
    </pivotField>
    <pivotField showAll="0">
      <items count="24">
        <item x="20"/>
        <item x="13"/>
        <item x="1"/>
        <item x="7"/>
        <item x="17"/>
        <item x="21"/>
        <item x="5"/>
        <item x="3"/>
        <item x="15"/>
        <item x="18"/>
        <item x="22"/>
        <item x="11"/>
        <item x="8"/>
        <item x="14"/>
        <item x="12"/>
        <item x="6"/>
        <item x="9"/>
        <item x="2"/>
        <item x="19"/>
        <item x="4"/>
        <item x="16"/>
        <item x="0"/>
        <item x="1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3"/>
  </rowFields>
  <rowItems count="1">
    <i>
      <x v="2"/>
    </i>
  </rowItems>
  <colItems count="1">
    <i/>
  </colItems>
  <dataFields count="1">
    <dataField name="Sum of Salary" fld="5" baseField="0" baseItem="0" numFmtId="164"/>
  </dataFields>
  <pivotTableStyleInfo name="PivotStyleLight16" showRowHeaders="1" showColHeaders="1" showRowStripes="0" showColStripes="0" showLastColumn="1"/>
  <filters count="2">
    <filter fld="1" type="count" evalOrder="-1" id="1" iMeasureFld="0">
      <autoFilter ref="A1">
        <filterColumn colId="0">
          <top10 val="5" filterVal="5"/>
        </filterColumn>
      </autoFilter>
    </filter>
    <filter fld="3"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C96D05F-9275-4A06-90E7-D9B7F36C0EA3}" name="PivotTable8"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rowHeaderCaption="Job Title">
  <location ref="A3:B4" firstHeaderRow="1" firstDataRow="1" firstDataCol="1"/>
  <pivotFields count="13">
    <pivotField dataField="1" showAll="0"/>
    <pivotField showAll="0">
      <items count="31">
        <item x="27"/>
        <item x="14"/>
        <item x="19"/>
        <item x="11"/>
        <item x="26"/>
        <item x="17"/>
        <item x="22"/>
        <item x="7"/>
        <item x="5"/>
        <item x="29"/>
        <item x="6"/>
        <item x="10"/>
        <item x="23"/>
        <item x="21"/>
        <item x="18"/>
        <item x="13"/>
        <item x="16"/>
        <item x="3"/>
        <item x="2"/>
        <item x="1"/>
        <item x="28"/>
        <item x="0"/>
        <item x="20"/>
        <item x="24"/>
        <item x="15"/>
        <item x="12"/>
        <item x="8"/>
        <item x="25"/>
        <item x="4"/>
        <item x="9"/>
        <item t="default"/>
      </items>
    </pivotField>
    <pivotField axis="axisRow" showAll="0" measureFilter="1">
      <items count="24">
        <item x="15"/>
        <item x="18"/>
        <item x="1"/>
        <item x="19"/>
        <item x="4"/>
        <item x="6"/>
        <item x="2"/>
        <item x="12"/>
        <item x="5"/>
        <item x="21"/>
        <item x="9"/>
        <item x="0"/>
        <item x="16"/>
        <item x="22"/>
        <item x="11"/>
        <item x="8"/>
        <item x="17"/>
        <item x="3"/>
        <item x="13"/>
        <item x="20"/>
        <item x="7"/>
        <item x="10"/>
        <item x="14"/>
        <item t="default"/>
      </items>
    </pivotField>
    <pivotField showAll="0">
      <items count="7">
        <item x="0"/>
        <item x="5"/>
        <item x="1"/>
        <item x="4"/>
        <item x="3"/>
        <item x="2"/>
        <item t="default"/>
      </items>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numFmtId="164" showAll="0"/>
    <pivotField numFmtId="2" showAll="0"/>
    <pivotField showAll="0">
      <items count="7">
        <item x="0"/>
        <item x="4"/>
        <item x="5"/>
        <item x="3"/>
        <item x="1"/>
        <item x="2"/>
        <item t="default"/>
      </items>
    </pivotField>
    <pivotField showAll="0">
      <items count="24">
        <item x="20"/>
        <item x="13"/>
        <item x="1"/>
        <item x="7"/>
        <item x="17"/>
        <item x="21"/>
        <item x="5"/>
        <item x="3"/>
        <item x="15"/>
        <item x="18"/>
        <item x="22"/>
        <item x="11"/>
        <item x="8"/>
        <item x="14"/>
        <item x="12"/>
        <item x="6"/>
        <item x="9"/>
        <item x="2"/>
        <item x="19"/>
        <item x="4"/>
        <item x="16"/>
        <item x="0"/>
        <item x="1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2"/>
  </rowFields>
  <rowItems count="1">
    <i>
      <x v="6"/>
    </i>
  </rowItems>
  <colItems count="1">
    <i/>
  </colItems>
  <dataFields count="1">
    <dataField name="Count of EmpID" fld="0" subtotal="count" baseField="0" baseItem="0"/>
  </dataFields>
  <pivotTableStyleInfo name="PivotStyleLight16" showRowHeaders="1" showColHeaders="1" showRowStripes="0" showColStripes="0" showLastColumn="1"/>
  <filters count="1">
    <filter fld="2"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1FAD88B-7FDD-4E99-9ABB-3FB20714E941}" autoFormatId="16" applyNumberFormats="0" applyBorderFormats="0" applyFontFormats="0" applyPatternFormats="0" applyAlignmentFormats="0" applyWidthHeightFormats="0">
  <queryTableRefresh nextId="13" unboundColumnsRight="2">
    <queryTableFields count="11">
      <queryTableField id="2" name="EmpID" tableColumnId="2"/>
      <queryTableField id="3" name="FullName" tableColumnId="3"/>
      <queryTableField id="4" name="JobTitle" tableColumnId="4"/>
      <queryTableField id="5" name="Department" tableColumnId="5"/>
      <queryTableField id="6" name="HireDate" tableColumnId="6"/>
      <queryTableField id="7" name="Salary" tableColumnId="7"/>
      <queryTableField id="8" name="YearsExperience" tableColumnId="8"/>
      <queryTableField id="9" name="Country" tableColumnId="9"/>
      <queryTableField id="10" name="City" tableColumnId="10"/>
      <queryTableField id="11" dataBound="0" tableColumnId="11"/>
      <queryTableField id="12"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1B8EA05-37D4-4E71-A1EB-014ED7DBA1DA}" sourceName="Department">
  <pivotTables>
    <pivotTable tabId="8" name="PivotTable5"/>
    <pivotTable tabId="5" name="PivotTable11"/>
    <pivotTable tabId="5" name="PivotTable2"/>
    <pivotTable tabId="4" name="PivotTable1"/>
    <pivotTable tabId="16" name="PivotTable10"/>
    <pivotTable tabId="18" name="PivotTable12"/>
    <pivotTable tabId="7" name="PivotTable13"/>
    <pivotTable tabId="7" name="PivotTable3"/>
    <pivotTable tabId="7" name="PivotTable4"/>
    <pivotTable tabId="11" name="PivotTable7"/>
    <pivotTable tabId="10" name="PivotTable6"/>
    <pivotTable tabId="12" name="PivotTable8"/>
  </pivotTables>
  <data>
    <tabular pivotCacheId="1485854792">
      <items count="6">
        <i x="0" s="1"/>
        <i x="5" s="1"/>
        <i x="1" s="1"/>
        <i x="4"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EC527AB-6E70-4990-83A8-C2577B98CEB6}" sourceName="Country">
  <pivotTables>
    <pivotTable tabId="8" name="PivotTable5"/>
    <pivotTable tabId="4" name="PivotTable1"/>
    <pivotTable tabId="5" name="PivotTable11"/>
    <pivotTable tabId="5" name="PivotTable2"/>
    <pivotTable tabId="16" name="PivotTable10"/>
    <pivotTable tabId="18" name="PivotTable12"/>
    <pivotTable tabId="7" name="PivotTable13"/>
    <pivotTable tabId="7" name="PivotTable3"/>
    <pivotTable tabId="7" name="PivotTable4"/>
    <pivotTable tabId="11" name="PivotTable7"/>
    <pivotTable tabId="10" name="PivotTable6"/>
    <pivotTable tabId="12" name="PivotTable8"/>
  </pivotTables>
  <data>
    <tabular pivotCacheId="1485854792">
      <items count="6">
        <i x="0" s="1"/>
        <i x="4" s="1"/>
        <i x="5"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7A8B3C7-F05F-4929-8376-F264D926D47D}" sourceName="City">
  <pivotTables>
    <pivotTable tabId="8" name="PivotTable5"/>
    <pivotTable tabId="4" name="PivotTable1"/>
    <pivotTable tabId="5" name="PivotTable11"/>
    <pivotTable tabId="5" name="PivotTable2"/>
    <pivotTable tabId="16" name="PivotTable10"/>
    <pivotTable tabId="18" name="PivotTable12"/>
    <pivotTable tabId="7" name="PivotTable13"/>
    <pivotTable tabId="7" name="PivotTable3"/>
    <pivotTable tabId="7" name="PivotTable4"/>
    <pivotTable tabId="11" name="PivotTable7"/>
    <pivotTable tabId="10" name="PivotTable6"/>
    <pivotTable tabId="12" name="PivotTable8"/>
  </pivotTables>
  <data>
    <tabular pivotCacheId="1485854792">
      <items count="23">
        <i x="20" s="1"/>
        <i x="13" s="1"/>
        <i x="1" s="1"/>
        <i x="7" s="1"/>
        <i x="17" s="1"/>
        <i x="21" s="1"/>
        <i x="5" s="1"/>
        <i x="3" s="1"/>
        <i x="15" s="1"/>
        <i x="18" s="1"/>
        <i x="22" s="1"/>
        <i x="11" s="1"/>
        <i x="8" s="1"/>
        <i x="14" s="1"/>
        <i x="12" s="1"/>
        <i x="6" s="1"/>
        <i x="9" s="1"/>
        <i x="2" s="1"/>
        <i x="19" s="1"/>
        <i x="4" s="1"/>
        <i x="16" s="1"/>
        <i x="0"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A5D3093-5FC0-44DF-B8EE-32CDCC2F7D31}" cache="Slicer_Department" caption="Department" rowHeight="247650"/>
  <slicer name="Country" xr10:uid="{DAEFAD6E-AE70-4FFE-84E5-59E8D7173CC4}" cache="Slicer_Country" caption="Country" rowHeight="247650"/>
  <slicer name="City" xr10:uid="{6F452C60-A88A-406B-AA03-07D133520B0F}" cache="Slicer_City" caption="City"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4C3010-AD7A-4E0D-A939-B52B2B5BF746}" name="Page001" displayName="Page001" ref="A1:K31" tableType="queryTable" totalsRowShown="0">
  <autoFilter ref="A1:K31" xr:uid="{C04C3010-AD7A-4E0D-A939-B52B2B5BF746}"/>
  <tableColumns count="11">
    <tableColumn id="2" xr3:uid="{A39FEACB-AC6B-4F90-970E-4E51BB89AA00}" uniqueName="2" name="EmpID" queryTableFieldId="2" dataDxfId="50"/>
    <tableColumn id="3" xr3:uid="{B4AE623E-6D6F-49AC-8291-989CD14594B9}" uniqueName="3" name="FullName" queryTableFieldId="3" dataDxfId="49"/>
    <tableColumn id="4" xr3:uid="{54373BDF-F21B-4146-975A-257D5C57ACCD}" uniqueName="4" name="JobTitle" queryTableFieldId="4" dataDxfId="48" dataCellStyle="Currency"/>
    <tableColumn id="5" xr3:uid="{844D83B6-7D8C-4A7F-ACE3-D14A6F2A060A}" uniqueName="5" name="Department" queryTableFieldId="5" dataDxfId="47"/>
    <tableColumn id="6" xr3:uid="{C5D1A673-508C-4E53-BB75-435BBBCB4C2F}" uniqueName="6" name="c" queryTableFieldId="6" dataDxfId="46"/>
    <tableColumn id="7" xr3:uid="{63B17E1E-120C-4EB1-924E-FE85D839AB77}" uniqueName="7" name="Salary" queryTableFieldId="7" dataDxfId="45"/>
    <tableColumn id="8" xr3:uid="{B9D7FAD3-75C6-4450-B327-3B00C06C3A80}" uniqueName="8" name="YearsExperience" queryTableFieldId="8" dataDxfId="44"/>
    <tableColumn id="9" xr3:uid="{E8052D7C-7762-47B2-A160-A01492B750F7}" uniqueName="9" name="Country" queryTableFieldId="9" dataDxfId="43"/>
    <tableColumn id="10" xr3:uid="{2F6BFDF0-D7FB-4897-B805-941D498C5990}" uniqueName="10" name="City" queryTableFieldId="10" dataDxfId="41"/>
    <tableColumn id="11" xr3:uid="{EEB8D87D-3F1C-4576-B0E9-0BC54E64A846}" uniqueName="11" name="employees_10yrs_plus" queryTableFieldId="11" dataDxfId="42">
      <calculatedColumnFormula>IF(Page001[[#This Row],[YearsExperience]]&gt;10,TRUE,FALSE)</calculatedColumnFormula>
    </tableColumn>
    <tableColumn id="12" xr3:uid="{2E22E8AA-9D22-418E-BF25-A3E0C1A782D3}" uniqueName="12" name="Status" queryTableFieldId="12" dataDxfId="38">
      <calculatedColumnFormula>IF(Page001[[#This Row],[Salary]]&gt;AVERAGEIF(D:D,Page001[[#This Row],[Department]],F:F), "High Class", " ")</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HireDate" xr10:uid="{6CC2483C-78EB-43FF-9A11-13149073ADAD}" sourceName="HireDate">
  <pivotTables>
    <pivotTable tabId="16" name="PivotTable10"/>
    <pivotTable tabId="8" name="PivotTable5"/>
    <pivotTable tabId="4" name="PivotTable1"/>
    <pivotTable tabId="5" name="PivotTable11"/>
    <pivotTable tabId="5" name="PivotTable2"/>
    <pivotTable tabId="18" name="PivotTable12"/>
    <pivotTable tabId="7" name="PivotTable3"/>
    <pivotTable tabId="7" name="PivotTable4"/>
    <pivotTable tabId="11" name="PivotTable7"/>
    <pivotTable tabId="10" name="PivotTable6"/>
    <pivotTable tabId="12" name="PivotTable8"/>
  </pivotTables>
  <state minimalRefreshVersion="6" lastRefreshVersion="6" pivotCacheId="1485854792" filterType="unknown">
    <bounds startDate="201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eDate" xr10:uid="{D1AE45FF-1150-43A4-B327-30D3E279F946}" cache="NativeTimeline_HireDate" caption="HireDate" level="2" selectionLevel="2" scrollPosition="2021-11-29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5D5DD-9D03-4F4D-9CD8-8AA71970CBA2}">
  <dimension ref="A3:B15"/>
  <sheetViews>
    <sheetView workbookViewId="0">
      <selection activeCell="N9" sqref="N9"/>
    </sheetView>
  </sheetViews>
  <sheetFormatPr defaultRowHeight="14.4" x14ac:dyDescent="0.3"/>
  <cols>
    <col min="1" max="1" width="12.44140625" bestFit="1" customWidth="1"/>
    <col min="2" max="2" width="13.77734375" bestFit="1" customWidth="1"/>
    <col min="3" max="4" width="4.109375" bestFit="1" customWidth="1"/>
    <col min="5" max="5" width="3.88671875" bestFit="1" customWidth="1"/>
    <col min="6" max="6" width="4.33203125" bestFit="1" customWidth="1"/>
    <col min="7" max="7" width="3.6640625" bestFit="1" customWidth="1"/>
    <col min="8" max="8" width="3.21875" bestFit="1" customWidth="1"/>
    <col min="9" max="9" width="4" bestFit="1" customWidth="1"/>
    <col min="10" max="10" width="4.21875" bestFit="1" customWidth="1"/>
    <col min="11" max="11" width="4" bestFit="1" customWidth="1"/>
    <col min="12" max="13" width="4.21875" bestFit="1" customWidth="1"/>
    <col min="14" max="14" width="10.5546875" bestFit="1" customWidth="1"/>
    <col min="15" max="31" width="10.33203125" bestFit="1" customWidth="1"/>
    <col min="32" max="32" width="10.5546875" bestFit="1" customWidth="1"/>
  </cols>
  <sheetData>
    <row r="3" spans="1:2" x14ac:dyDescent="0.3">
      <c r="A3" s="16" t="s">
        <v>128</v>
      </c>
      <c r="B3" t="s">
        <v>136</v>
      </c>
    </row>
    <row r="4" spans="1:2" x14ac:dyDescent="0.3">
      <c r="A4" s="17" t="s">
        <v>147</v>
      </c>
      <c r="B4" s="1">
        <v>2</v>
      </c>
    </row>
    <row r="5" spans="1:2" x14ac:dyDescent="0.3">
      <c r="A5" s="17" t="s">
        <v>148</v>
      </c>
      <c r="B5" s="1">
        <v>3</v>
      </c>
    </row>
    <row r="6" spans="1:2" x14ac:dyDescent="0.3">
      <c r="A6" s="17" t="s">
        <v>149</v>
      </c>
      <c r="B6" s="1">
        <v>3</v>
      </c>
    </row>
    <row r="7" spans="1:2" x14ac:dyDescent="0.3">
      <c r="A7" s="17" t="s">
        <v>150</v>
      </c>
      <c r="B7" s="1">
        <v>3</v>
      </c>
    </row>
    <row r="8" spans="1:2" x14ac:dyDescent="0.3">
      <c r="A8" s="17" t="s">
        <v>151</v>
      </c>
      <c r="B8" s="1">
        <v>4</v>
      </c>
    </row>
    <row r="9" spans="1:2" x14ac:dyDescent="0.3">
      <c r="A9" s="17" t="s">
        <v>152</v>
      </c>
      <c r="B9" s="1">
        <v>3</v>
      </c>
    </row>
    <row r="10" spans="1:2" x14ac:dyDescent="0.3">
      <c r="A10" s="17" t="s">
        <v>153</v>
      </c>
      <c r="B10" s="1">
        <v>4</v>
      </c>
    </row>
    <row r="11" spans="1:2" x14ac:dyDescent="0.3">
      <c r="A11" s="17" t="s">
        <v>154</v>
      </c>
      <c r="B11" s="1">
        <v>4</v>
      </c>
    </row>
    <row r="12" spans="1:2" x14ac:dyDescent="0.3">
      <c r="A12" s="17" t="s">
        <v>155</v>
      </c>
      <c r="B12" s="1">
        <v>2</v>
      </c>
    </row>
    <row r="13" spans="1:2" x14ac:dyDescent="0.3">
      <c r="A13" s="17" t="s">
        <v>156</v>
      </c>
      <c r="B13" s="1">
        <v>1</v>
      </c>
    </row>
    <row r="14" spans="1:2" x14ac:dyDescent="0.3">
      <c r="A14" s="17" t="s">
        <v>157</v>
      </c>
      <c r="B14" s="1">
        <v>1</v>
      </c>
    </row>
    <row r="15" spans="1:2" x14ac:dyDescent="0.3">
      <c r="A15" s="17" t="s">
        <v>129</v>
      </c>
      <c r="B15" s="1">
        <v>30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22213-3CC9-4C82-BB85-F4F42593789A}">
  <dimension ref="A3:B6"/>
  <sheetViews>
    <sheetView topLeftCell="A2" workbookViewId="0">
      <selection activeCell="B26" sqref="B26"/>
    </sheetView>
  </sheetViews>
  <sheetFormatPr defaultRowHeight="14.4" x14ac:dyDescent="0.3"/>
  <cols>
    <col min="1" max="1" width="13.21875" bestFit="1" customWidth="1"/>
    <col min="2" max="2" width="23.88671875" bestFit="1" customWidth="1"/>
  </cols>
  <sheetData>
    <row r="3" spans="1:2" x14ac:dyDescent="0.3">
      <c r="A3" s="16" t="s">
        <v>3</v>
      </c>
      <c r="B3" t="s">
        <v>130</v>
      </c>
    </row>
    <row r="4" spans="1:2" x14ac:dyDescent="0.3">
      <c r="A4" s="17" t="s">
        <v>28</v>
      </c>
      <c r="B4" s="21">
        <v>13</v>
      </c>
    </row>
    <row r="5" spans="1:2" x14ac:dyDescent="0.3">
      <c r="A5" s="17" t="s">
        <v>12</v>
      </c>
      <c r="B5" s="21">
        <v>10.559999999999999</v>
      </c>
    </row>
    <row r="6" spans="1:2" x14ac:dyDescent="0.3">
      <c r="A6" s="17" t="s">
        <v>56</v>
      </c>
      <c r="B6" s="21">
        <v>8.75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54A2D-8BE9-4C64-8172-B2B829C76D2B}">
  <dimension ref="A1:K38"/>
  <sheetViews>
    <sheetView topLeftCell="A37" workbookViewId="0">
      <selection activeCell="C38" sqref="C38"/>
    </sheetView>
  </sheetViews>
  <sheetFormatPr defaultRowHeight="14.4" x14ac:dyDescent="0.3"/>
  <cols>
    <col min="1" max="1" width="8.77734375" bestFit="1" customWidth="1"/>
    <col min="2" max="2" width="15.21875" bestFit="1" customWidth="1"/>
    <col min="3" max="3" width="17.21875" bestFit="1" customWidth="1"/>
    <col min="4" max="4" width="13.21875" style="18" bestFit="1" customWidth="1"/>
    <col min="5" max="5" width="10.6640625" style="2" bestFit="1" customWidth="1"/>
    <col min="6" max="6" width="11.109375" style="20" bestFit="1" customWidth="1"/>
    <col min="7" max="7" width="17.109375" style="21" bestFit="1" customWidth="1"/>
    <col min="8" max="8" width="9.6640625" style="18" bestFit="1" customWidth="1"/>
    <col min="9" max="9" width="12.33203125" style="18" bestFit="1" customWidth="1"/>
    <col min="10" max="10" width="22.109375" bestFit="1" customWidth="1"/>
  </cols>
  <sheetData>
    <row r="1" spans="1:11" x14ac:dyDescent="0.3">
      <c r="A1" t="s">
        <v>0</v>
      </c>
      <c r="B1" t="s">
        <v>1</v>
      </c>
      <c r="C1" s="18" t="s">
        <v>2</v>
      </c>
      <c r="D1" s="18" t="s">
        <v>3</v>
      </c>
      <c r="E1" s="2" t="s">
        <v>134</v>
      </c>
      <c r="F1" s="20" t="s">
        <v>5</v>
      </c>
      <c r="G1" s="21" t="s">
        <v>6</v>
      </c>
      <c r="H1" s="18" t="s">
        <v>7</v>
      </c>
      <c r="I1" s="18" t="s">
        <v>8</v>
      </c>
      <c r="J1" t="s">
        <v>127</v>
      </c>
      <c r="K1" t="s">
        <v>133</v>
      </c>
    </row>
    <row r="2" spans="1:11" x14ac:dyDescent="0.3">
      <c r="A2" s="1" t="s">
        <v>9</v>
      </c>
      <c r="B2" s="18" t="s">
        <v>10</v>
      </c>
      <c r="C2" s="19" t="s">
        <v>11</v>
      </c>
      <c r="D2" s="18" t="s">
        <v>12</v>
      </c>
      <c r="E2" s="2">
        <v>40953</v>
      </c>
      <c r="F2" s="20">
        <v>78960.73</v>
      </c>
      <c r="G2" s="21">
        <v>13.1</v>
      </c>
      <c r="H2" s="18" t="s">
        <v>13</v>
      </c>
      <c r="I2" s="18" t="s">
        <v>14</v>
      </c>
      <c r="J2" t="b">
        <f>IF(Page001[[#This Row],[YearsExperience]]&gt;10,TRUE,FALSE)</f>
        <v>1</v>
      </c>
      <c r="K2" t="str">
        <f>IF(Page001[[#This Row],[Salary]]&gt;AVERAGEIF(D:D,Page001[[#This Row],[Department]],F:F), "High Class", " ")</f>
        <v xml:space="preserve"> </v>
      </c>
    </row>
    <row r="3" spans="1:11" x14ac:dyDescent="0.3">
      <c r="A3" s="1" t="s">
        <v>15</v>
      </c>
      <c r="B3" s="18" t="s">
        <v>16</v>
      </c>
      <c r="C3" s="19" t="s">
        <v>17</v>
      </c>
      <c r="D3" s="18" t="s">
        <v>18</v>
      </c>
      <c r="E3" s="2">
        <v>43380</v>
      </c>
      <c r="F3" s="20">
        <v>105887.97</v>
      </c>
      <c r="G3" s="21">
        <v>14.8</v>
      </c>
      <c r="H3" s="18" t="s">
        <v>19</v>
      </c>
      <c r="I3" s="18" t="s">
        <v>20</v>
      </c>
      <c r="J3" t="b">
        <f>IF(Page001[[#This Row],[YearsExperience]]&gt;10,TRUE,FALSE)</f>
        <v>1</v>
      </c>
      <c r="K3" t="str">
        <f>IF(Page001[[#This Row],[Salary]]&gt;AVERAGEIF(D:D,Page001[[#This Row],[Department]],F:F), "High Class", " ")</f>
        <v xml:space="preserve"> </v>
      </c>
    </row>
    <row r="4" spans="1:11" x14ac:dyDescent="0.3">
      <c r="A4" s="1" t="s">
        <v>21</v>
      </c>
      <c r="B4" s="18" t="s">
        <v>22</v>
      </c>
      <c r="C4" s="19" t="s">
        <v>23</v>
      </c>
      <c r="D4" s="18" t="s">
        <v>24</v>
      </c>
      <c r="E4" s="2">
        <v>43762</v>
      </c>
      <c r="F4" s="20">
        <v>97023.2</v>
      </c>
      <c r="G4" s="21">
        <v>1.3</v>
      </c>
      <c r="H4" s="18" t="s">
        <v>13</v>
      </c>
      <c r="I4" s="18" t="s">
        <v>20</v>
      </c>
      <c r="J4" t="b">
        <f>IF(Page001[[#This Row],[YearsExperience]]&gt;10,TRUE,FALSE)</f>
        <v>0</v>
      </c>
      <c r="K4" t="str">
        <f>IF(Page001[[#This Row],[Salary]]&gt;AVERAGEIF(D:D,Page001[[#This Row],[Department]],F:F), "High Class", " ")</f>
        <v>High Class</v>
      </c>
    </row>
    <row r="5" spans="1:11" x14ac:dyDescent="0.3">
      <c r="A5" s="1" t="s">
        <v>25</v>
      </c>
      <c r="B5" s="18" t="s">
        <v>26</v>
      </c>
      <c r="C5" s="19" t="s">
        <v>27</v>
      </c>
      <c r="D5" s="18" t="s">
        <v>28</v>
      </c>
      <c r="E5" s="2">
        <v>42522</v>
      </c>
      <c r="F5" s="20">
        <v>125500</v>
      </c>
      <c r="G5" s="21">
        <v>11.4</v>
      </c>
      <c r="H5" s="18" t="s">
        <v>29</v>
      </c>
      <c r="I5" s="18" t="s">
        <v>30</v>
      </c>
      <c r="J5" t="b">
        <f>IF(Page001[[#This Row],[YearsExperience]]&gt;10,TRUE,FALSE)</f>
        <v>1</v>
      </c>
      <c r="K5" t="str">
        <f>IF(Page001[[#This Row],[Salary]]&gt;AVERAGEIF(D:D,Page001[[#This Row],[Department]],F:F), "High Class", " ")</f>
        <v xml:space="preserve"> </v>
      </c>
    </row>
    <row r="6" spans="1:11" x14ac:dyDescent="0.3">
      <c r="A6" s="1" t="s">
        <v>31</v>
      </c>
      <c r="B6" s="18" t="s">
        <v>32</v>
      </c>
      <c r="C6" s="19" t="s">
        <v>33</v>
      </c>
      <c r="D6" s="18" t="s">
        <v>18</v>
      </c>
      <c r="E6" s="2">
        <v>43905</v>
      </c>
      <c r="F6" s="20">
        <v>115450.5</v>
      </c>
      <c r="G6" s="21">
        <v>4.5</v>
      </c>
      <c r="H6" s="18" t="s">
        <v>34</v>
      </c>
      <c r="I6" s="18" t="s">
        <v>35</v>
      </c>
      <c r="J6" t="b">
        <f>IF(Page001[[#This Row],[YearsExperience]]&gt;10,TRUE,FALSE)</f>
        <v>0</v>
      </c>
      <c r="K6" t="str">
        <f>IF(Page001[[#This Row],[Salary]]&gt;AVERAGEIF(D:D,Page001[[#This Row],[Department]],F:F), "High Class", " ")</f>
        <v>High Class</v>
      </c>
    </row>
    <row r="7" spans="1:11" x14ac:dyDescent="0.3">
      <c r="A7" s="1" t="s">
        <v>36</v>
      </c>
      <c r="B7" s="18" t="s">
        <v>37</v>
      </c>
      <c r="C7" s="19" t="s">
        <v>38</v>
      </c>
      <c r="D7" s="18" t="s">
        <v>12</v>
      </c>
      <c r="E7" s="2">
        <v>42268</v>
      </c>
      <c r="F7" s="20">
        <v>98400.75</v>
      </c>
      <c r="G7" s="21">
        <v>9.6999999999999993</v>
      </c>
      <c r="H7" s="18" t="s">
        <v>13</v>
      </c>
      <c r="I7" s="18" t="s">
        <v>14</v>
      </c>
      <c r="J7" t="b">
        <f>IF(Page001[[#This Row],[YearsExperience]]&gt;10,TRUE,FALSE)</f>
        <v>0</v>
      </c>
      <c r="K7" t="str">
        <f>IF(Page001[[#This Row],[Salary]]&gt;AVERAGEIF(D:D,Page001[[#This Row],[Department]],F:F), "High Class", " ")</f>
        <v>High Class</v>
      </c>
    </row>
    <row r="8" spans="1:11" x14ac:dyDescent="0.3">
      <c r="A8" s="1" t="s">
        <v>39</v>
      </c>
      <c r="B8" s="18" t="s">
        <v>40</v>
      </c>
      <c r="C8" s="19" t="s">
        <v>41</v>
      </c>
      <c r="D8" s="18" t="s">
        <v>42</v>
      </c>
      <c r="E8" s="2">
        <v>43080</v>
      </c>
      <c r="F8" s="20">
        <v>76500.2</v>
      </c>
      <c r="G8" s="21">
        <v>6.1</v>
      </c>
      <c r="H8" s="18" t="s">
        <v>43</v>
      </c>
      <c r="I8" s="18" t="s">
        <v>44</v>
      </c>
      <c r="J8" t="b">
        <f>IF(Page001[[#This Row],[YearsExperience]]&gt;10,TRUE,FALSE)</f>
        <v>0</v>
      </c>
      <c r="K8" t="str">
        <f>IF(Page001[[#This Row],[Salary]]&gt;AVERAGEIF(D:D,Page001[[#This Row],[Department]],F:F), "High Class", " ")</f>
        <v xml:space="preserve"> </v>
      </c>
    </row>
    <row r="9" spans="1:11" x14ac:dyDescent="0.3">
      <c r="A9" s="1" t="s">
        <v>45</v>
      </c>
      <c r="B9" s="18" t="s">
        <v>46</v>
      </c>
      <c r="C9" s="19" t="s">
        <v>47</v>
      </c>
      <c r="D9" s="18" t="s">
        <v>18</v>
      </c>
      <c r="E9" s="2">
        <v>41845</v>
      </c>
      <c r="F9" s="20">
        <v>134200</v>
      </c>
      <c r="G9" s="21">
        <v>12</v>
      </c>
      <c r="H9" s="18" t="s">
        <v>29</v>
      </c>
      <c r="I9" s="18" t="s">
        <v>48</v>
      </c>
      <c r="J9" t="b">
        <f>IF(Page001[[#This Row],[YearsExperience]]&gt;10,TRUE,FALSE)</f>
        <v>1</v>
      </c>
      <c r="K9" t="str">
        <f>IF(Page001[[#This Row],[Salary]]&gt;AVERAGEIF(D:D,Page001[[#This Row],[Department]],F:F), "High Class", " ")</f>
        <v>High Class</v>
      </c>
    </row>
    <row r="10" spans="1:11" x14ac:dyDescent="0.3">
      <c r="A10" s="1" t="s">
        <v>49</v>
      </c>
      <c r="B10" s="18" t="s">
        <v>50</v>
      </c>
      <c r="C10" s="19" t="s">
        <v>51</v>
      </c>
      <c r="D10" s="18" t="s">
        <v>24</v>
      </c>
      <c r="E10" s="2">
        <v>43474</v>
      </c>
      <c r="F10" s="20">
        <v>112300.65</v>
      </c>
      <c r="G10" s="21">
        <v>3.9</v>
      </c>
      <c r="H10" s="18" t="s">
        <v>52</v>
      </c>
      <c r="I10" s="18" t="s">
        <v>20</v>
      </c>
      <c r="J10" t="b">
        <f>IF(Page001[[#This Row],[YearsExperience]]&gt;10,TRUE,FALSE)</f>
        <v>0</v>
      </c>
      <c r="K10" t="str">
        <f>IF(Page001[[#This Row],[Salary]]&gt;AVERAGEIF(D:D,Page001[[#This Row],[Department]],F:F), "High Class", " ")</f>
        <v>High Class</v>
      </c>
    </row>
    <row r="11" spans="1:11" x14ac:dyDescent="0.3">
      <c r="A11" s="1" t="s">
        <v>53</v>
      </c>
      <c r="B11" s="18" t="s">
        <v>54</v>
      </c>
      <c r="C11" s="19" t="s">
        <v>55</v>
      </c>
      <c r="D11" s="18" t="s">
        <v>56</v>
      </c>
      <c r="E11" s="2">
        <v>41424</v>
      </c>
      <c r="F11" s="20">
        <v>89400.8</v>
      </c>
      <c r="G11" s="21">
        <v>14.2</v>
      </c>
      <c r="H11" s="18" t="s">
        <v>13</v>
      </c>
      <c r="I11" s="18" t="s">
        <v>57</v>
      </c>
      <c r="J11" t="b">
        <f>IF(Page001[[#This Row],[YearsExperience]]&gt;10,TRUE,FALSE)</f>
        <v>1</v>
      </c>
      <c r="K11" t="str">
        <f>IF(Page001[[#This Row],[Salary]]&gt;AVERAGEIF(D:D,Page001[[#This Row],[Department]],F:F), "High Class", " ")</f>
        <v>High Class</v>
      </c>
    </row>
    <row r="12" spans="1:11" x14ac:dyDescent="0.3">
      <c r="A12" s="1" t="s">
        <v>58</v>
      </c>
      <c r="B12" s="18" t="s">
        <v>59</v>
      </c>
      <c r="C12" s="19" t="s">
        <v>60</v>
      </c>
      <c r="D12" s="18" t="s">
        <v>18</v>
      </c>
      <c r="E12" s="2">
        <v>43148</v>
      </c>
      <c r="F12" s="20">
        <v>68500.899999999994</v>
      </c>
      <c r="G12" s="21">
        <v>5.7</v>
      </c>
      <c r="H12" s="18" t="s">
        <v>29</v>
      </c>
      <c r="I12" s="18" t="s">
        <v>61</v>
      </c>
      <c r="J12" t="b">
        <f>IF(Page001[[#This Row],[YearsExperience]]&gt;10,TRUE,FALSE)</f>
        <v>0</v>
      </c>
      <c r="K12" t="str">
        <f>IF(Page001[[#This Row],[Salary]]&gt;AVERAGEIF(D:D,Page001[[#This Row],[Department]],F:F), "High Class", " ")</f>
        <v xml:space="preserve"> </v>
      </c>
    </row>
    <row r="13" spans="1:11" x14ac:dyDescent="0.3">
      <c r="A13" s="1" t="s">
        <v>62</v>
      </c>
      <c r="B13" s="18" t="s">
        <v>63</v>
      </c>
      <c r="C13" s="19" t="s">
        <v>64</v>
      </c>
      <c r="D13" s="18" t="s">
        <v>42</v>
      </c>
      <c r="E13" s="2">
        <v>44367</v>
      </c>
      <c r="F13" s="20">
        <v>60200.45</v>
      </c>
      <c r="G13" s="21">
        <v>2.1</v>
      </c>
      <c r="H13" s="18" t="s">
        <v>43</v>
      </c>
      <c r="I13" s="18" t="s">
        <v>65</v>
      </c>
      <c r="J13" t="b">
        <f>IF(Page001[[#This Row],[YearsExperience]]&gt;10,TRUE,FALSE)</f>
        <v>0</v>
      </c>
      <c r="K13" t="str">
        <f>IF(Page001[[#This Row],[Salary]]&gt;AVERAGEIF(D:D,Page001[[#This Row],[Department]],F:F), "High Class", " ")</f>
        <v xml:space="preserve"> </v>
      </c>
    </row>
    <row r="14" spans="1:11" x14ac:dyDescent="0.3">
      <c r="A14" s="1" t="s">
        <v>66</v>
      </c>
      <c r="B14" s="18" t="s">
        <v>67</v>
      </c>
      <c r="C14" s="19" t="s">
        <v>68</v>
      </c>
      <c r="D14" s="18" t="s">
        <v>18</v>
      </c>
      <c r="E14" s="2">
        <v>42587</v>
      </c>
      <c r="F14" s="20">
        <v>121300.1</v>
      </c>
      <c r="G14" s="21">
        <v>8.5</v>
      </c>
      <c r="H14" s="18" t="s">
        <v>34</v>
      </c>
      <c r="I14" s="18" t="s">
        <v>69</v>
      </c>
      <c r="J14" t="b">
        <f>IF(Page001[[#This Row],[YearsExperience]]&gt;10,TRUE,FALSE)</f>
        <v>0</v>
      </c>
      <c r="K14" t="str">
        <f>IF(Page001[[#This Row],[Salary]]&gt;AVERAGEIF(D:D,Page001[[#This Row],[Department]],F:F), "High Class", " ")</f>
        <v>High Class</v>
      </c>
    </row>
    <row r="15" spans="1:11" x14ac:dyDescent="0.3">
      <c r="A15" s="1" t="s">
        <v>70</v>
      </c>
      <c r="B15" s="18" t="s">
        <v>71</v>
      </c>
      <c r="C15" s="19" t="s">
        <v>17</v>
      </c>
      <c r="D15" s="18" t="s">
        <v>12</v>
      </c>
      <c r="E15" s="2">
        <v>43027</v>
      </c>
      <c r="F15" s="20">
        <v>99800.75</v>
      </c>
      <c r="G15" s="21">
        <v>7.3</v>
      </c>
      <c r="H15" s="18" t="s">
        <v>13</v>
      </c>
      <c r="I15" s="18" t="s">
        <v>72</v>
      </c>
      <c r="J15" t="b">
        <f>IF(Page001[[#This Row],[YearsExperience]]&gt;10,TRUE,FALSE)</f>
        <v>0</v>
      </c>
      <c r="K15" t="str">
        <f>IF(Page001[[#This Row],[Salary]]&gt;AVERAGEIF(D:D,Page001[[#This Row],[Department]],F:F), "High Class", " ")</f>
        <v>High Class</v>
      </c>
    </row>
    <row r="16" spans="1:11" x14ac:dyDescent="0.3">
      <c r="A16" s="1" t="s">
        <v>73</v>
      </c>
      <c r="B16" s="18" t="s">
        <v>74</v>
      </c>
      <c r="C16" s="19" t="s">
        <v>23</v>
      </c>
      <c r="D16" s="18" t="s">
        <v>24</v>
      </c>
      <c r="E16" s="2">
        <v>41968</v>
      </c>
      <c r="F16" s="20">
        <v>109500.25</v>
      </c>
      <c r="G16" s="21">
        <v>10.199999999999999</v>
      </c>
      <c r="H16" s="18" t="s">
        <v>19</v>
      </c>
      <c r="I16" s="18" t="s">
        <v>75</v>
      </c>
      <c r="J16" t="b">
        <f>IF(Page001[[#This Row],[YearsExperience]]&gt;10,TRUE,FALSE)</f>
        <v>1</v>
      </c>
      <c r="K16" t="str">
        <f>IF(Page001[[#This Row],[Salary]]&gt;AVERAGEIF(D:D,Page001[[#This Row],[Department]],F:F), "High Class", " ")</f>
        <v>High Class</v>
      </c>
    </row>
    <row r="17" spans="1:11" x14ac:dyDescent="0.3">
      <c r="A17" s="1" t="s">
        <v>76</v>
      </c>
      <c r="B17" s="18" t="s">
        <v>77</v>
      </c>
      <c r="C17" s="19" t="s">
        <v>78</v>
      </c>
      <c r="D17" s="18" t="s">
        <v>56</v>
      </c>
      <c r="E17" s="2">
        <v>43569</v>
      </c>
      <c r="F17" s="20">
        <v>71500.55</v>
      </c>
      <c r="G17" s="21">
        <v>4</v>
      </c>
      <c r="H17" s="18" t="s">
        <v>29</v>
      </c>
      <c r="I17" s="18" t="s">
        <v>79</v>
      </c>
      <c r="J17" t="b">
        <f>IF(Page001[[#This Row],[YearsExperience]]&gt;10,TRUE,FALSE)</f>
        <v>0</v>
      </c>
      <c r="K17" t="str">
        <f>IF(Page001[[#This Row],[Salary]]&gt;AVERAGEIF(D:D,Page001[[#This Row],[Department]],F:F), "High Class", " ")</f>
        <v xml:space="preserve"> </v>
      </c>
    </row>
    <row r="18" spans="1:11" x14ac:dyDescent="0.3">
      <c r="A18" s="1" t="s">
        <v>80</v>
      </c>
      <c r="B18" s="18" t="s">
        <v>81</v>
      </c>
      <c r="C18" s="19" t="s">
        <v>82</v>
      </c>
      <c r="D18" s="18" t="s">
        <v>42</v>
      </c>
      <c r="E18" s="2">
        <v>42013</v>
      </c>
      <c r="F18" s="20">
        <v>85000.65</v>
      </c>
      <c r="G18" s="21">
        <v>9.5</v>
      </c>
      <c r="H18" s="18" t="s">
        <v>43</v>
      </c>
      <c r="I18" s="18" t="s">
        <v>44</v>
      </c>
      <c r="J18" t="b">
        <f>IF(Page001[[#This Row],[YearsExperience]]&gt;10,TRUE,FALSE)</f>
        <v>0</v>
      </c>
      <c r="K18" t="str">
        <f>IF(Page001[[#This Row],[Salary]]&gt;AVERAGEIF(D:D,Page001[[#This Row],[Department]],F:F), "High Class", " ")</f>
        <v>High Class</v>
      </c>
    </row>
    <row r="19" spans="1:11" x14ac:dyDescent="0.3">
      <c r="A19" s="1" t="s">
        <v>83</v>
      </c>
      <c r="B19" s="18" t="s">
        <v>84</v>
      </c>
      <c r="C19" s="19" t="s">
        <v>33</v>
      </c>
      <c r="D19" s="18" t="s">
        <v>18</v>
      </c>
      <c r="E19" s="2">
        <v>44755</v>
      </c>
      <c r="F19" s="20">
        <v>125700.85</v>
      </c>
      <c r="G19" s="21">
        <v>2.5</v>
      </c>
      <c r="H19" s="18" t="s">
        <v>34</v>
      </c>
      <c r="I19" s="18" t="s">
        <v>85</v>
      </c>
      <c r="J19" t="b">
        <f>IF(Page001[[#This Row],[YearsExperience]]&gt;10,TRUE,FALSE)</f>
        <v>0</v>
      </c>
      <c r="K19" t="str">
        <f>IF(Page001[[#This Row],[Salary]]&gt;AVERAGEIF(D:D,Page001[[#This Row],[Department]],F:F), "High Class", " ")</f>
        <v>High Class</v>
      </c>
    </row>
    <row r="20" spans="1:11" x14ac:dyDescent="0.3">
      <c r="A20" s="1" t="s">
        <v>86</v>
      </c>
      <c r="B20" s="18" t="s">
        <v>87</v>
      </c>
      <c r="C20" s="19" t="s">
        <v>88</v>
      </c>
      <c r="D20" s="18" t="s">
        <v>12</v>
      </c>
      <c r="E20" s="2">
        <v>41351</v>
      </c>
      <c r="F20" s="20">
        <v>88000.4</v>
      </c>
      <c r="G20" s="21">
        <v>15</v>
      </c>
      <c r="H20" s="18" t="s">
        <v>13</v>
      </c>
      <c r="I20" s="18" t="s">
        <v>14</v>
      </c>
      <c r="J20" t="b">
        <f>IF(Page001[[#This Row],[YearsExperience]]&gt;10,TRUE,FALSE)</f>
        <v>1</v>
      </c>
      <c r="K20" t="str">
        <f>IF(Page001[[#This Row],[Salary]]&gt;AVERAGEIF(D:D,Page001[[#This Row],[Department]],F:F), "High Class", " ")</f>
        <v xml:space="preserve"> </v>
      </c>
    </row>
    <row r="21" spans="1:11" x14ac:dyDescent="0.3">
      <c r="A21" s="1" t="s">
        <v>89</v>
      </c>
      <c r="B21" s="18" t="s">
        <v>90</v>
      </c>
      <c r="C21" s="19" t="s">
        <v>47</v>
      </c>
      <c r="D21" s="18" t="s">
        <v>18</v>
      </c>
      <c r="E21" s="2">
        <v>44072</v>
      </c>
      <c r="F21" s="20">
        <v>104500.7</v>
      </c>
      <c r="G21" s="21">
        <v>3.3</v>
      </c>
      <c r="H21" s="18" t="s">
        <v>19</v>
      </c>
      <c r="I21" s="18" t="s">
        <v>91</v>
      </c>
      <c r="J21" t="b">
        <f>IF(Page001[[#This Row],[YearsExperience]]&gt;10,TRUE,FALSE)</f>
        <v>0</v>
      </c>
      <c r="K21" t="str">
        <f>IF(Page001[[#This Row],[Salary]]&gt;AVERAGEIF(D:D,Page001[[#This Row],[Department]],F:F), "High Class", " ")</f>
        <v xml:space="preserve"> </v>
      </c>
    </row>
    <row r="22" spans="1:11" x14ac:dyDescent="0.3">
      <c r="A22" s="1" t="s">
        <v>92</v>
      </c>
      <c r="B22" s="18" t="s">
        <v>93</v>
      </c>
      <c r="C22" s="19" t="s">
        <v>11</v>
      </c>
      <c r="D22" s="18" t="s">
        <v>56</v>
      </c>
      <c r="E22" s="2">
        <v>42706</v>
      </c>
      <c r="F22" s="20">
        <v>78200.350000000006</v>
      </c>
      <c r="G22" s="21">
        <v>6.9</v>
      </c>
      <c r="H22" s="18" t="s">
        <v>29</v>
      </c>
      <c r="I22" s="18" t="s">
        <v>48</v>
      </c>
      <c r="J22" t="b">
        <f>IF(Page001[[#This Row],[YearsExperience]]&gt;10,TRUE,FALSE)</f>
        <v>0</v>
      </c>
      <c r="K22" t="str">
        <f>IF(Page001[[#This Row],[Salary]]&gt;AVERAGEIF(D:D,Page001[[#This Row],[Department]],F:F), "High Class", " ")</f>
        <v xml:space="preserve"> </v>
      </c>
    </row>
    <row r="23" spans="1:11" x14ac:dyDescent="0.3">
      <c r="A23" s="1" t="s">
        <v>94</v>
      </c>
      <c r="B23" s="18" t="s">
        <v>95</v>
      </c>
      <c r="C23" s="19" t="s">
        <v>96</v>
      </c>
      <c r="D23" s="18" t="s">
        <v>42</v>
      </c>
      <c r="E23" s="2">
        <v>43360</v>
      </c>
      <c r="F23" s="20">
        <v>69800.25</v>
      </c>
      <c r="G23" s="21">
        <v>5.2</v>
      </c>
      <c r="H23" s="18" t="s">
        <v>52</v>
      </c>
      <c r="I23" s="18" t="s">
        <v>97</v>
      </c>
      <c r="J23" t="b">
        <f>IF(Page001[[#This Row],[YearsExperience]]&gt;10,TRUE,FALSE)</f>
        <v>0</v>
      </c>
      <c r="K23" t="str">
        <f>IF(Page001[[#This Row],[Salary]]&gt;AVERAGEIF(D:D,Page001[[#This Row],[Department]],F:F), "High Class", " ")</f>
        <v xml:space="preserve"> </v>
      </c>
    </row>
    <row r="24" spans="1:11" x14ac:dyDescent="0.3">
      <c r="A24" s="1" t="s">
        <v>98</v>
      </c>
      <c r="B24" s="18" t="s">
        <v>99</v>
      </c>
      <c r="C24" s="19" t="s">
        <v>100</v>
      </c>
      <c r="D24" s="18" t="s">
        <v>28</v>
      </c>
      <c r="E24" s="2">
        <v>41021</v>
      </c>
      <c r="F24" s="20">
        <v>134800.95000000001</v>
      </c>
      <c r="G24" s="21">
        <v>14.6</v>
      </c>
      <c r="H24" s="18" t="s">
        <v>29</v>
      </c>
      <c r="I24" s="18" t="s">
        <v>101</v>
      </c>
      <c r="J24" t="b">
        <f>IF(Page001[[#This Row],[YearsExperience]]&gt;10,TRUE,FALSE)</f>
        <v>1</v>
      </c>
      <c r="K24" t="str">
        <f>IF(Page001[[#This Row],[Salary]]&gt;AVERAGEIF(D:D,Page001[[#This Row],[Department]],F:F), "High Class", " ")</f>
        <v>High Class</v>
      </c>
    </row>
    <row r="25" spans="1:11" x14ac:dyDescent="0.3">
      <c r="A25" s="1" t="s">
        <v>102</v>
      </c>
      <c r="B25" s="18" t="s">
        <v>103</v>
      </c>
      <c r="C25" s="19" t="s">
        <v>104</v>
      </c>
      <c r="D25" s="18" t="s">
        <v>24</v>
      </c>
      <c r="E25" s="2">
        <v>43649</v>
      </c>
      <c r="F25" s="20">
        <v>58200.800000000003</v>
      </c>
      <c r="G25" s="21">
        <v>3.1</v>
      </c>
      <c r="H25" s="18" t="s">
        <v>19</v>
      </c>
      <c r="I25" s="18" t="s">
        <v>105</v>
      </c>
      <c r="J25" t="b">
        <f>IF(Page001[[#This Row],[YearsExperience]]&gt;10,TRUE,FALSE)</f>
        <v>0</v>
      </c>
      <c r="K25" t="str">
        <f>IF(Page001[[#This Row],[Salary]]&gt;AVERAGEIF(D:D,Page001[[#This Row],[Department]],F:F), "High Class", " ")</f>
        <v xml:space="preserve"> </v>
      </c>
    </row>
    <row r="26" spans="1:11" x14ac:dyDescent="0.3">
      <c r="A26" s="1" t="s">
        <v>106</v>
      </c>
      <c r="B26" s="18" t="s">
        <v>107</v>
      </c>
      <c r="C26" s="19" t="s">
        <v>38</v>
      </c>
      <c r="D26" s="18" t="s">
        <v>12</v>
      </c>
      <c r="E26" s="2">
        <v>42885</v>
      </c>
      <c r="F26" s="20">
        <v>93600.6</v>
      </c>
      <c r="G26" s="21">
        <v>7.7</v>
      </c>
      <c r="H26" s="18" t="s">
        <v>34</v>
      </c>
      <c r="I26" s="18" t="s">
        <v>108</v>
      </c>
      <c r="J26" t="b">
        <f>IF(Page001[[#This Row],[YearsExperience]]&gt;10,TRUE,FALSE)</f>
        <v>0</v>
      </c>
      <c r="K26" t="str">
        <f>IF(Page001[[#This Row],[Salary]]&gt;AVERAGEIF(D:D,Page001[[#This Row],[Department]],F:F), "High Class", " ")</f>
        <v>High Class</v>
      </c>
    </row>
    <row r="27" spans="1:11" x14ac:dyDescent="0.3">
      <c r="A27" s="1" t="s">
        <v>109</v>
      </c>
      <c r="B27" s="18" t="s">
        <v>110</v>
      </c>
      <c r="C27" s="19" t="s">
        <v>111</v>
      </c>
      <c r="D27" s="18" t="s">
        <v>18</v>
      </c>
      <c r="E27" s="2">
        <v>41939</v>
      </c>
      <c r="F27" s="20">
        <v>128300.2</v>
      </c>
      <c r="G27" s="21">
        <v>11.1</v>
      </c>
      <c r="H27" s="18" t="s">
        <v>43</v>
      </c>
      <c r="I27" s="18" t="s">
        <v>44</v>
      </c>
      <c r="J27" t="b">
        <f>IF(Page001[[#This Row],[YearsExperience]]&gt;10,TRUE,FALSE)</f>
        <v>1</v>
      </c>
      <c r="K27" t="str">
        <f>IF(Page001[[#This Row],[Salary]]&gt;AVERAGEIF(D:D,Page001[[#This Row],[Department]],F:F), "High Class", " ")</f>
        <v>High Class</v>
      </c>
    </row>
    <row r="28" spans="1:11" x14ac:dyDescent="0.3">
      <c r="A28" s="1" t="s">
        <v>112</v>
      </c>
      <c r="B28" s="18" t="s">
        <v>113</v>
      </c>
      <c r="C28" s="19" t="s">
        <v>114</v>
      </c>
      <c r="D28" s="18" t="s">
        <v>24</v>
      </c>
      <c r="E28" s="2">
        <v>42380</v>
      </c>
      <c r="F28" s="20">
        <v>74500.350000000006</v>
      </c>
      <c r="G28" s="21">
        <v>8.1999999999999993</v>
      </c>
      <c r="H28" s="18" t="s">
        <v>13</v>
      </c>
      <c r="I28" s="18" t="s">
        <v>115</v>
      </c>
      <c r="J28" t="b">
        <f>IF(Page001[[#This Row],[YearsExperience]]&gt;10,TRUE,FALSE)</f>
        <v>0</v>
      </c>
      <c r="K28" t="str">
        <f>IF(Page001[[#This Row],[Salary]]&gt;AVERAGEIF(D:D,Page001[[#This Row],[Department]],F:F), "High Class", " ")</f>
        <v xml:space="preserve"> </v>
      </c>
    </row>
    <row r="29" spans="1:11" x14ac:dyDescent="0.3">
      <c r="A29" s="1" t="s">
        <v>116</v>
      </c>
      <c r="B29" s="18" t="s">
        <v>117</v>
      </c>
      <c r="C29" s="19" t="s">
        <v>118</v>
      </c>
      <c r="D29" s="18" t="s">
        <v>56</v>
      </c>
      <c r="E29" s="2">
        <v>42204</v>
      </c>
      <c r="F29" s="20">
        <v>81000.55</v>
      </c>
      <c r="G29" s="21">
        <v>9.9</v>
      </c>
      <c r="H29" s="18" t="s">
        <v>29</v>
      </c>
      <c r="I29" s="18" t="s">
        <v>119</v>
      </c>
      <c r="J29" t="b">
        <f>IF(Page001[[#This Row],[YearsExperience]]&gt;10,TRUE,FALSE)</f>
        <v>0</v>
      </c>
      <c r="K29" t="str">
        <f>IF(Page001[[#This Row],[Salary]]&gt;AVERAGEIF(D:D,Page001[[#This Row],[Department]],F:F), "High Class", " ")</f>
        <v>High Class</v>
      </c>
    </row>
    <row r="30" spans="1:11" x14ac:dyDescent="0.3">
      <c r="A30" s="1" t="s">
        <v>120</v>
      </c>
      <c r="B30" s="18" t="s">
        <v>121</v>
      </c>
      <c r="C30" s="19" t="s">
        <v>23</v>
      </c>
      <c r="D30" s="18" t="s">
        <v>18</v>
      </c>
      <c r="E30" s="2">
        <v>43409</v>
      </c>
      <c r="F30" s="20">
        <v>115800</v>
      </c>
      <c r="G30" s="21">
        <v>5.4</v>
      </c>
      <c r="H30" s="18" t="s">
        <v>34</v>
      </c>
      <c r="I30" s="18" t="s">
        <v>122</v>
      </c>
      <c r="J30" t="b">
        <f>IF(Page001[[#This Row],[YearsExperience]]&gt;10,TRUE,FALSE)</f>
        <v>0</v>
      </c>
      <c r="K30" t="str">
        <f>IF(Page001[[#This Row],[Salary]]&gt;AVERAGEIF(D:D,Page001[[#This Row],[Department]],F:F), "High Class", " ")</f>
        <v>High Class</v>
      </c>
    </row>
    <row r="31" spans="1:11" x14ac:dyDescent="0.3">
      <c r="A31" s="1" t="s">
        <v>123</v>
      </c>
      <c r="B31" s="18" t="s">
        <v>124</v>
      </c>
      <c r="C31" s="19" t="s">
        <v>125</v>
      </c>
      <c r="D31" s="18" t="s">
        <v>42</v>
      </c>
      <c r="E31" s="2">
        <v>41540</v>
      </c>
      <c r="F31" s="20">
        <v>99500.75</v>
      </c>
      <c r="G31" s="21">
        <v>12.7</v>
      </c>
      <c r="H31" s="18" t="s">
        <v>19</v>
      </c>
      <c r="I31" s="18" t="s">
        <v>126</v>
      </c>
      <c r="J31" t="b">
        <f>IF(Page001[[#This Row],[YearsExperience]]&gt;10,TRUE,FALSE)</f>
        <v>1</v>
      </c>
      <c r="K31" t="str">
        <f>IF(Page001[[#This Row],[Salary]]&gt;AVERAGEIF(D:D,Page001[[#This Row],[Department]],F:F), "High Class", " ")</f>
        <v>High Class</v>
      </c>
    </row>
    <row r="35" spans="2:3" x14ac:dyDescent="0.3">
      <c r="B35" t="s">
        <v>143</v>
      </c>
      <c r="C35" s="20">
        <f>AVERAGE(F:F)</f>
        <v>96711.17333333334</v>
      </c>
    </row>
    <row r="36" spans="2:3" x14ac:dyDescent="0.3">
      <c r="B36" t="s">
        <v>144</v>
      </c>
      <c r="C36" s="21">
        <f xml:space="preserve"> AVERAGE(G:G)</f>
        <v>8.129999999999999</v>
      </c>
    </row>
    <row r="37" spans="2:3" x14ac:dyDescent="0.3">
      <c r="B37" t="s">
        <v>145</v>
      </c>
      <c r="C37" s="36">
        <f>(COUNTIF(J:J,"TRUE"))/30</f>
        <v>0.33333333333333331</v>
      </c>
    </row>
    <row r="38" spans="2:3" x14ac:dyDescent="0.3">
      <c r="B38" t="s">
        <v>163</v>
      </c>
      <c r="C38" s="36">
        <f>COUNTIF(G:G,"&lt;3")/30</f>
        <v>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96939-A99D-4BD0-8B24-C92DF3A36332}">
  <dimension ref="A1:J11"/>
  <sheetViews>
    <sheetView workbookViewId="0">
      <selection activeCell="C14" sqref="C14"/>
    </sheetView>
  </sheetViews>
  <sheetFormatPr defaultRowHeight="14.4" x14ac:dyDescent="0.3"/>
  <cols>
    <col min="1" max="1" width="7.5546875" bestFit="1" customWidth="1"/>
    <col min="2" max="2" width="13.33203125" bestFit="1" customWidth="1"/>
    <col min="3" max="3" width="16.33203125" bestFit="1" customWidth="1"/>
    <col min="4" max="4" width="11" bestFit="1" customWidth="1"/>
    <col min="5" max="5" width="10.33203125" bestFit="1" customWidth="1"/>
    <col min="6" max="6" width="10" bestFit="1" customWidth="1"/>
    <col min="7" max="7" width="14.88671875" bestFit="1" customWidth="1"/>
    <col min="8" max="8" width="7.44140625" bestFit="1" customWidth="1"/>
    <col min="9" max="9" width="12.33203125" bestFit="1" customWidth="1"/>
    <col min="10" max="10" width="19.88671875" bestFit="1" customWidth="1"/>
  </cols>
  <sheetData>
    <row r="1" spans="1:10" x14ac:dyDescent="0.3">
      <c r="A1" s="3" t="s">
        <v>0</v>
      </c>
      <c r="B1" s="4" t="s">
        <v>1</v>
      </c>
      <c r="C1" s="4" t="s">
        <v>2</v>
      </c>
      <c r="D1" s="4" t="s">
        <v>3</v>
      </c>
      <c r="E1" s="4" t="s">
        <v>4</v>
      </c>
      <c r="F1" s="4" t="s">
        <v>5</v>
      </c>
      <c r="G1" s="4" t="s">
        <v>6</v>
      </c>
      <c r="H1" s="4" t="s">
        <v>7</v>
      </c>
      <c r="I1" s="4" t="s">
        <v>8</v>
      </c>
      <c r="J1" s="5" t="s">
        <v>127</v>
      </c>
    </row>
    <row r="2" spans="1:10" x14ac:dyDescent="0.3">
      <c r="A2" s="10" t="s">
        <v>9</v>
      </c>
      <c r="B2" s="11" t="s">
        <v>10</v>
      </c>
      <c r="C2" s="11" t="s">
        <v>11</v>
      </c>
      <c r="D2" s="11" t="s">
        <v>12</v>
      </c>
      <c r="E2" s="12">
        <v>40953</v>
      </c>
      <c r="F2" s="6">
        <v>78960.73</v>
      </c>
      <c r="G2" s="6">
        <v>13.1</v>
      </c>
      <c r="H2" s="11" t="s">
        <v>13</v>
      </c>
      <c r="I2" s="11" t="s">
        <v>14</v>
      </c>
      <c r="J2" s="8" t="b">
        <v>1</v>
      </c>
    </row>
    <row r="3" spans="1:10" x14ac:dyDescent="0.3">
      <c r="A3" s="13" t="s">
        <v>15</v>
      </c>
      <c r="B3" s="14" t="s">
        <v>16</v>
      </c>
      <c r="C3" s="14" t="s">
        <v>17</v>
      </c>
      <c r="D3" s="14" t="s">
        <v>18</v>
      </c>
      <c r="E3" s="15">
        <v>43380</v>
      </c>
      <c r="F3" s="7">
        <v>105887.97</v>
      </c>
      <c r="G3" s="7">
        <v>14.8</v>
      </c>
      <c r="H3" s="14" t="s">
        <v>19</v>
      </c>
      <c r="I3" s="14" t="s">
        <v>20</v>
      </c>
      <c r="J3" s="9" t="b">
        <v>1</v>
      </c>
    </row>
    <row r="4" spans="1:10" x14ac:dyDescent="0.3">
      <c r="A4" s="10" t="s">
        <v>25</v>
      </c>
      <c r="B4" s="11" t="s">
        <v>26</v>
      </c>
      <c r="C4" s="11" t="s">
        <v>27</v>
      </c>
      <c r="D4" s="11" t="s">
        <v>28</v>
      </c>
      <c r="E4" s="12">
        <v>42522</v>
      </c>
      <c r="F4" s="6">
        <v>125500</v>
      </c>
      <c r="G4" s="6">
        <v>11.4</v>
      </c>
      <c r="H4" s="11" t="s">
        <v>29</v>
      </c>
      <c r="I4" s="11" t="s">
        <v>30</v>
      </c>
      <c r="J4" s="8" t="b">
        <v>1</v>
      </c>
    </row>
    <row r="5" spans="1:10" x14ac:dyDescent="0.3">
      <c r="A5" s="13" t="s">
        <v>45</v>
      </c>
      <c r="B5" s="14" t="s">
        <v>46</v>
      </c>
      <c r="C5" s="14" t="s">
        <v>47</v>
      </c>
      <c r="D5" s="14" t="s">
        <v>18</v>
      </c>
      <c r="E5" s="15">
        <v>41845</v>
      </c>
      <c r="F5" s="7">
        <v>134200</v>
      </c>
      <c r="G5" s="7">
        <v>12</v>
      </c>
      <c r="H5" s="14" t="s">
        <v>29</v>
      </c>
      <c r="I5" s="14" t="s">
        <v>48</v>
      </c>
      <c r="J5" s="9" t="b">
        <v>1</v>
      </c>
    </row>
    <row r="6" spans="1:10" x14ac:dyDescent="0.3">
      <c r="A6" s="10" t="s">
        <v>53</v>
      </c>
      <c r="B6" s="11" t="s">
        <v>54</v>
      </c>
      <c r="C6" s="11" t="s">
        <v>55</v>
      </c>
      <c r="D6" s="11" t="s">
        <v>56</v>
      </c>
      <c r="E6" s="12">
        <v>41424</v>
      </c>
      <c r="F6" s="6">
        <v>89400.8</v>
      </c>
      <c r="G6" s="6">
        <v>14.2</v>
      </c>
      <c r="H6" s="11" t="s">
        <v>13</v>
      </c>
      <c r="I6" s="11" t="s">
        <v>57</v>
      </c>
      <c r="J6" s="8" t="b">
        <v>1</v>
      </c>
    </row>
    <row r="7" spans="1:10" x14ac:dyDescent="0.3">
      <c r="A7" s="13" t="s">
        <v>73</v>
      </c>
      <c r="B7" s="14" t="s">
        <v>74</v>
      </c>
      <c r="C7" s="14" t="s">
        <v>23</v>
      </c>
      <c r="D7" s="14" t="s">
        <v>24</v>
      </c>
      <c r="E7" s="15">
        <v>41968</v>
      </c>
      <c r="F7" s="7">
        <v>109500.25</v>
      </c>
      <c r="G7" s="7">
        <v>10.199999999999999</v>
      </c>
      <c r="H7" s="14" t="s">
        <v>19</v>
      </c>
      <c r="I7" s="14" t="s">
        <v>75</v>
      </c>
      <c r="J7" s="9" t="b">
        <v>1</v>
      </c>
    </row>
    <row r="8" spans="1:10" x14ac:dyDescent="0.3">
      <c r="A8" s="10" t="s">
        <v>86</v>
      </c>
      <c r="B8" s="11" t="s">
        <v>87</v>
      </c>
      <c r="C8" s="11" t="s">
        <v>88</v>
      </c>
      <c r="D8" s="11" t="s">
        <v>12</v>
      </c>
      <c r="E8" s="12">
        <v>41351</v>
      </c>
      <c r="F8" s="6">
        <v>88000.4</v>
      </c>
      <c r="G8" s="6">
        <v>15</v>
      </c>
      <c r="H8" s="11" t="s">
        <v>13</v>
      </c>
      <c r="I8" s="11" t="s">
        <v>14</v>
      </c>
      <c r="J8" s="8" t="b">
        <v>1</v>
      </c>
    </row>
    <row r="9" spans="1:10" x14ac:dyDescent="0.3">
      <c r="A9" s="13" t="s">
        <v>98</v>
      </c>
      <c r="B9" s="14" t="s">
        <v>99</v>
      </c>
      <c r="C9" s="14" t="s">
        <v>100</v>
      </c>
      <c r="D9" s="14" t="s">
        <v>28</v>
      </c>
      <c r="E9" s="15">
        <v>41021</v>
      </c>
      <c r="F9" s="7">
        <v>134800.95000000001</v>
      </c>
      <c r="G9" s="7">
        <v>14.6</v>
      </c>
      <c r="H9" s="14" t="s">
        <v>29</v>
      </c>
      <c r="I9" s="14" t="s">
        <v>101</v>
      </c>
      <c r="J9" s="9" t="b">
        <v>1</v>
      </c>
    </row>
    <row r="10" spans="1:10" x14ac:dyDescent="0.3">
      <c r="A10" s="10" t="s">
        <v>109</v>
      </c>
      <c r="B10" s="11" t="s">
        <v>110</v>
      </c>
      <c r="C10" s="11" t="s">
        <v>111</v>
      </c>
      <c r="D10" s="11" t="s">
        <v>18</v>
      </c>
      <c r="E10" s="12">
        <v>41939</v>
      </c>
      <c r="F10" s="6">
        <v>128300.2</v>
      </c>
      <c r="G10" s="6">
        <v>11.1</v>
      </c>
      <c r="H10" s="11" t="s">
        <v>43</v>
      </c>
      <c r="I10" s="11" t="s">
        <v>44</v>
      </c>
      <c r="J10" s="8" t="b">
        <v>1</v>
      </c>
    </row>
    <row r="11" spans="1:10" x14ac:dyDescent="0.3">
      <c r="A11" s="13" t="s">
        <v>123</v>
      </c>
      <c r="B11" s="14" t="s">
        <v>124</v>
      </c>
      <c r="C11" s="14" t="s">
        <v>125</v>
      </c>
      <c r="D11" s="14" t="s">
        <v>42</v>
      </c>
      <c r="E11" s="15">
        <v>41540</v>
      </c>
      <c r="F11" s="7">
        <v>99500.75</v>
      </c>
      <c r="G11" s="7">
        <v>12.7</v>
      </c>
      <c r="H11" s="14" t="s">
        <v>19</v>
      </c>
      <c r="I11" s="14" t="s">
        <v>126</v>
      </c>
      <c r="J11" s="9" t="b">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69C65-7A69-4DA7-BD28-5E7E5E70EF43}">
  <dimension ref="A3:B9"/>
  <sheetViews>
    <sheetView workbookViewId="0">
      <selection activeCell="A3" sqref="A3"/>
    </sheetView>
  </sheetViews>
  <sheetFormatPr defaultRowHeight="14.4" x14ac:dyDescent="0.3"/>
  <cols>
    <col min="1" max="1" width="13.21875" bestFit="1" customWidth="1"/>
    <col min="2" max="2" width="23.88671875" bestFit="1" customWidth="1"/>
    <col min="3" max="7" width="4" bestFit="1" customWidth="1"/>
    <col min="8" max="8" width="2" bestFit="1" customWidth="1"/>
    <col min="9" max="21" width="4" bestFit="1" customWidth="1"/>
    <col min="22" max="24" width="5" bestFit="1" customWidth="1"/>
    <col min="25" max="25" width="3" bestFit="1" customWidth="1"/>
    <col min="26" max="30" width="5" bestFit="1" customWidth="1"/>
    <col min="31" max="31" width="3" bestFit="1" customWidth="1"/>
    <col min="32" max="32" width="10.5546875" bestFit="1" customWidth="1"/>
  </cols>
  <sheetData>
    <row r="3" spans="1:2" x14ac:dyDescent="0.3">
      <c r="A3" s="16" t="s">
        <v>3</v>
      </c>
      <c r="B3" t="s">
        <v>130</v>
      </c>
    </row>
    <row r="4" spans="1:2" x14ac:dyDescent="0.3">
      <c r="A4" s="17" t="s">
        <v>24</v>
      </c>
      <c r="B4" s="1">
        <v>5.34</v>
      </c>
    </row>
    <row r="5" spans="1:2" x14ac:dyDescent="0.3">
      <c r="A5" s="17" t="s">
        <v>42</v>
      </c>
      <c r="B5" s="1">
        <v>7.1199999999999992</v>
      </c>
    </row>
    <row r="6" spans="1:2" x14ac:dyDescent="0.3">
      <c r="A6" s="17" t="s">
        <v>18</v>
      </c>
      <c r="B6" s="1">
        <v>7.5333333333333332</v>
      </c>
    </row>
    <row r="7" spans="1:2" x14ac:dyDescent="0.3">
      <c r="A7" s="17" t="s">
        <v>56</v>
      </c>
      <c r="B7" s="1">
        <v>8.75</v>
      </c>
    </row>
    <row r="8" spans="1:2" x14ac:dyDescent="0.3">
      <c r="A8" s="17" t="s">
        <v>12</v>
      </c>
      <c r="B8" s="1">
        <v>10.559999999999999</v>
      </c>
    </row>
    <row r="9" spans="1:2" x14ac:dyDescent="0.3">
      <c r="A9" s="17" t="s">
        <v>28</v>
      </c>
      <c r="B9" s="1">
        <v>13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CE41B-2C63-491B-8669-8C53D75CDEDC}">
  <dimension ref="A3:C33"/>
  <sheetViews>
    <sheetView topLeftCell="A11" workbookViewId="0">
      <selection activeCell="H22" sqref="H22"/>
    </sheetView>
  </sheetViews>
  <sheetFormatPr defaultRowHeight="14.4" x14ac:dyDescent="0.3"/>
  <cols>
    <col min="1" max="1" width="13.21875" bestFit="1" customWidth="1"/>
    <col min="2" max="2" width="15.109375" bestFit="1" customWidth="1"/>
    <col min="3" max="3" width="14.109375" bestFit="1" customWidth="1"/>
  </cols>
  <sheetData>
    <row r="3" spans="1:3" x14ac:dyDescent="0.3">
      <c r="A3" s="16" t="s">
        <v>3</v>
      </c>
      <c r="B3" t="s">
        <v>132</v>
      </c>
      <c r="C3" t="s">
        <v>158</v>
      </c>
    </row>
    <row r="4" spans="1:3" x14ac:dyDescent="0.3">
      <c r="A4" s="17" t="s">
        <v>28</v>
      </c>
      <c r="B4" s="22">
        <v>130150.47500000001</v>
      </c>
      <c r="C4" s="22">
        <v>260300.95</v>
      </c>
    </row>
    <row r="5" spans="1:3" x14ac:dyDescent="0.3">
      <c r="A5" s="17" t="s">
        <v>18</v>
      </c>
      <c r="B5" s="22">
        <v>113293.46888888888</v>
      </c>
      <c r="C5" s="22">
        <v>1019641.2199999999</v>
      </c>
    </row>
    <row r="6" spans="1:3" x14ac:dyDescent="0.3">
      <c r="A6" s="17" t="s">
        <v>12</v>
      </c>
      <c r="B6" s="22">
        <v>91752.645999999993</v>
      </c>
      <c r="C6" s="22">
        <v>458763.23</v>
      </c>
    </row>
    <row r="7" spans="1:3" x14ac:dyDescent="0.3">
      <c r="A7" s="17" t="s">
        <v>24</v>
      </c>
      <c r="B7" s="22">
        <v>90305.05</v>
      </c>
      <c r="C7" s="22">
        <v>451525.25</v>
      </c>
    </row>
    <row r="8" spans="1:3" x14ac:dyDescent="0.3">
      <c r="A8" s="17" t="s">
        <v>56</v>
      </c>
      <c r="B8" s="22">
        <v>80025.5625</v>
      </c>
      <c r="C8" s="22">
        <v>320102.25</v>
      </c>
    </row>
    <row r="9" spans="1:3" x14ac:dyDescent="0.3">
      <c r="A9" s="17" t="s">
        <v>42</v>
      </c>
      <c r="B9" s="22">
        <v>78200.459999999992</v>
      </c>
      <c r="C9" s="22">
        <v>391002.3</v>
      </c>
    </row>
    <row r="27" spans="1:2" x14ac:dyDescent="0.3">
      <c r="A27" s="16" t="s">
        <v>3</v>
      </c>
      <c r="B27" s="22" t="s">
        <v>158</v>
      </c>
    </row>
    <row r="28" spans="1:2" x14ac:dyDescent="0.3">
      <c r="A28" s="17" t="s">
        <v>52</v>
      </c>
      <c r="B28" s="22">
        <v>182100.9</v>
      </c>
    </row>
    <row r="29" spans="1:2" x14ac:dyDescent="0.3">
      <c r="A29" s="17" t="s">
        <v>43</v>
      </c>
      <c r="B29" s="22">
        <v>350001.5</v>
      </c>
    </row>
    <row r="30" spans="1:2" x14ac:dyDescent="0.3">
      <c r="A30" s="17" t="s">
        <v>19</v>
      </c>
      <c r="B30" s="22">
        <v>477590.47</v>
      </c>
    </row>
    <row r="31" spans="1:2" x14ac:dyDescent="0.3">
      <c r="A31" s="17" t="s">
        <v>34</v>
      </c>
      <c r="B31" s="22">
        <v>571852.05000000005</v>
      </c>
    </row>
    <row r="32" spans="1:2" x14ac:dyDescent="0.3">
      <c r="A32" s="17" t="s">
        <v>13</v>
      </c>
      <c r="B32" s="22">
        <v>626086.98</v>
      </c>
    </row>
    <row r="33" spans="1:2" x14ac:dyDescent="0.3">
      <c r="A33" s="17" t="s">
        <v>29</v>
      </c>
      <c r="B33" s="22">
        <v>693703.3</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023CC-23EE-4A94-BF2E-0B21B8E76581}">
  <dimension ref="A1:K18"/>
  <sheetViews>
    <sheetView workbookViewId="0">
      <selection activeCell="F21" sqref="F21"/>
    </sheetView>
  </sheetViews>
  <sheetFormatPr defaultRowHeight="14.4" x14ac:dyDescent="0.3"/>
  <cols>
    <col min="5" max="5" width="10.33203125" bestFit="1" customWidth="1"/>
    <col min="6" max="6" width="11.109375" bestFit="1" customWidth="1"/>
    <col min="7" max="7" width="14.88671875" bestFit="1" customWidth="1"/>
    <col min="10" max="10" width="19.88671875" bestFit="1" customWidth="1"/>
    <col min="11" max="11" width="9.44140625" bestFit="1" customWidth="1"/>
  </cols>
  <sheetData>
    <row r="1" spans="1:11" x14ac:dyDescent="0.3">
      <c r="A1" s="3" t="s">
        <v>0</v>
      </c>
      <c r="B1" s="4" t="s">
        <v>1</v>
      </c>
      <c r="C1" s="23" t="s">
        <v>2</v>
      </c>
      <c r="D1" s="23" t="s">
        <v>3</v>
      </c>
      <c r="E1" s="24" t="s">
        <v>134</v>
      </c>
      <c r="F1" s="25" t="s">
        <v>5</v>
      </c>
      <c r="G1" s="26" t="s">
        <v>6</v>
      </c>
      <c r="H1" s="23" t="s">
        <v>7</v>
      </c>
      <c r="I1" s="23" t="s">
        <v>8</v>
      </c>
      <c r="J1" s="4" t="s">
        <v>127</v>
      </c>
      <c r="K1" s="5" t="s">
        <v>133</v>
      </c>
    </row>
    <row r="2" spans="1:11" x14ac:dyDescent="0.3">
      <c r="A2" s="10" t="s">
        <v>21</v>
      </c>
      <c r="B2" s="27" t="s">
        <v>22</v>
      </c>
      <c r="C2" s="28" t="s">
        <v>23</v>
      </c>
      <c r="D2" s="27" t="s">
        <v>24</v>
      </c>
      <c r="E2" s="12">
        <v>43762</v>
      </c>
      <c r="F2" s="29">
        <v>97023.2</v>
      </c>
      <c r="G2" s="30">
        <v>1.3</v>
      </c>
      <c r="H2" s="27" t="s">
        <v>13</v>
      </c>
      <c r="I2" s="27" t="s">
        <v>20</v>
      </c>
      <c r="J2" s="6" t="b">
        <v>0</v>
      </c>
      <c r="K2" s="8" t="s">
        <v>135</v>
      </c>
    </row>
    <row r="3" spans="1:11" x14ac:dyDescent="0.3">
      <c r="A3" s="13" t="s">
        <v>31</v>
      </c>
      <c r="B3" s="31" t="s">
        <v>32</v>
      </c>
      <c r="C3" s="32" t="s">
        <v>33</v>
      </c>
      <c r="D3" s="31" t="s">
        <v>18</v>
      </c>
      <c r="E3" s="15">
        <v>43905</v>
      </c>
      <c r="F3" s="33">
        <v>115450.5</v>
      </c>
      <c r="G3" s="34">
        <v>4.5</v>
      </c>
      <c r="H3" s="31" t="s">
        <v>34</v>
      </c>
      <c r="I3" s="31" t="s">
        <v>35</v>
      </c>
      <c r="J3" s="7" t="b">
        <v>0</v>
      </c>
      <c r="K3" s="9" t="s">
        <v>135</v>
      </c>
    </row>
    <row r="4" spans="1:11" x14ac:dyDescent="0.3">
      <c r="A4" s="10" t="s">
        <v>36</v>
      </c>
      <c r="B4" s="27" t="s">
        <v>37</v>
      </c>
      <c r="C4" s="28" t="s">
        <v>38</v>
      </c>
      <c r="D4" s="27" t="s">
        <v>12</v>
      </c>
      <c r="E4" s="12">
        <v>42268</v>
      </c>
      <c r="F4" s="29">
        <v>98400.75</v>
      </c>
      <c r="G4" s="30">
        <v>9.6999999999999993</v>
      </c>
      <c r="H4" s="27" t="s">
        <v>13</v>
      </c>
      <c r="I4" s="27" t="s">
        <v>14</v>
      </c>
      <c r="J4" s="6" t="b">
        <v>0</v>
      </c>
      <c r="K4" s="8" t="s">
        <v>135</v>
      </c>
    </row>
    <row r="5" spans="1:11" x14ac:dyDescent="0.3">
      <c r="A5" s="13" t="s">
        <v>45</v>
      </c>
      <c r="B5" s="31" t="s">
        <v>46</v>
      </c>
      <c r="C5" s="32" t="s">
        <v>47</v>
      </c>
      <c r="D5" s="31" t="s">
        <v>18</v>
      </c>
      <c r="E5" s="15">
        <v>41845</v>
      </c>
      <c r="F5" s="33">
        <v>134200</v>
      </c>
      <c r="G5" s="34">
        <v>12</v>
      </c>
      <c r="H5" s="31" t="s">
        <v>29</v>
      </c>
      <c r="I5" s="31" t="s">
        <v>48</v>
      </c>
      <c r="J5" s="7" t="b">
        <v>1</v>
      </c>
      <c r="K5" s="9" t="s">
        <v>135</v>
      </c>
    </row>
    <row r="6" spans="1:11" x14ac:dyDescent="0.3">
      <c r="A6" s="10" t="s">
        <v>49</v>
      </c>
      <c r="B6" s="27" t="s">
        <v>50</v>
      </c>
      <c r="C6" s="28" t="s">
        <v>51</v>
      </c>
      <c r="D6" s="27" t="s">
        <v>24</v>
      </c>
      <c r="E6" s="12">
        <v>43474</v>
      </c>
      <c r="F6" s="29">
        <v>112300.65</v>
      </c>
      <c r="G6" s="30">
        <v>3.9</v>
      </c>
      <c r="H6" s="27" t="s">
        <v>52</v>
      </c>
      <c r="I6" s="27" t="s">
        <v>20</v>
      </c>
      <c r="J6" s="6" t="b">
        <v>0</v>
      </c>
      <c r="K6" s="8" t="s">
        <v>135</v>
      </c>
    </row>
    <row r="7" spans="1:11" x14ac:dyDescent="0.3">
      <c r="A7" s="13" t="s">
        <v>53</v>
      </c>
      <c r="B7" s="31" t="s">
        <v>54</v>
      </c>
      <c r="C7" s="32" t="s">
        <v>55</v>
      </c>
      <c r="D7" s="31" t="s">
        <v>56</v>
      </c>
      <c r="E7" s="15">
        <v>41424</v>
      </c>
      <c r="F7" s="33">
        <v>89400.8</v>
      </c>
      <c r="G7" s="34">
        <v>14.2</v>
      </c>
      <c r="H7" s="31" t="s">
        <v>13</v>
      </c>
      <c r="I7" s="31" t="s">
        <v>57</v>
      </c>
      <c r="J7" s="7" t="b">
        <v>1</v>
      </c>
      <c r="K7" s="9" t="s">
        <v>135</v>
      </c>
    </row>
    <row r="8" spans="1:11" x14ac:dyDescent="0.3">
      <c r="A8" s="10" t="s">
        <v>66</v>
      </c>
      <c r="B8" s="27" t="s">
        <v>67</v>
      </c>
      <c r="C8" s="28" t="s">
        <v>68</v>
      </c>
      <c r="D8" s="27" t="s">
        <v>18</v>
      </c>
      <c r="E8" s="12">
        <v>42587</v>
      </c>
      <c r="F8" s="29">
        <v>121300.1</v>
      </c>
      <c r="G8" s="30">
        <v>8.5</v>
      </c>
      <c r="H8" s="27" t="s">
        <v>34</v>
      </c>
      <c r="I8" s="27" t="s">
        <v>69</v>
      </c>
      <c r="J8" s="6" t="b">
        <v>0</v>
      </c>
      <c r="K8" s="8" t="s">
        <v>135</v>
      </c>
    </row>
    <row r="9" spans="1:11" x14ac:dyDescent="0.3">
      <c r="A9" s="13" t="s">
        <v>70</v>
      </c>
      <c r="B9" s="31" t="s">
        <v>71</v>
      </c>
      <c r="C9" s="32" t="s">
        <v>17</v>
      </c>
      <c r="D9" s="31" t="s">
        <v>12</v>
      </c>
      <c r="E9" s="15">
        <v>43027</v>
      </c>
      <c r="F9" s="33">
        <v>99800.75</v>
      </c>
      <c r="G9" s="34">
        <v>7.3</v>
      </c>
      <c r="H9" s="31" t="s">
        <v>13</v>
      </c>
      <c r="I9" s="31" t="s">
        <v>72</v>
      </c>
      <c r="J9" s="7" t="b">
        <v>0</v>
      </c>
      <c r="K9" s="9" t="s">
        <v>135</v>
      </c>
    </row>
    <row r="10" spans="1:11" x14ac:dyDescent="0.3">
      <c r="A10" s="10" t="s">
        <v>73</v>
      </c>
      <c r="B10" s="27" t="s">
        <v>74</v>
      </c>
      <c r="C10" s="28" t="s">
        <v>23</v>
      </c>
      <c r="D10" s="27" t="s">
        <v>24</v>
      </c>
      <c r="E10" s="12">
        <v>41968</v>
      </c>
      <c r="F10" s="29">
        <v>109500.25</v>
      </c>
      <c r="G10" s="30">
        <v>10.199999999999999</v>
      </c>
      <c r="H10" s="27" t="s">
        <v>19</v>
      </c>
      <c r="I10" s="27" t="s">
        <v>75</v>
      </c>
      <c r="J10" s="6" t="b">
        <v>1</v>
      </c>
      <c r="K10" s="8" t="s">
        <v>135</v>
      </c>
    </row>
    <row r="11" spans="1:11" x14ac:dyDescent="0.3">
      <c r="A11" s="13" t="s">
        <v>80</v>
      </c>
      <c r="B11" s="31" t="s">
        <v>81</v>
      </c>
      <c r="C11" s="32" t="s">
        <v>82</v>
      </c>
      <c r="D11" s="31" t="s">
        <v>42</v>
      </c>
      <c r="E11" s="15">
        <v>42013</v>
      </c>
      <c r="F11" s="33">
        <v>85000.65</v>
      </c>
      <c r="G11" s="34">
        <v>9.5</v>
      </c>
      <c r="H11" s="31" t="s">
        <v>43</v>
      </c>
      <c r="I11" s="31" t="s">
        <v>44</v>
      </c>
      <c r="J11" s="7" t="b">
        <v>0</v>
      </c>
      <c r="K11" s="9" t="s">
        <v>135</v>
      </c>
    </row>
    <row r="12" spans="1:11" x14ac:dyDescent="0.3">
      <c r="A12" s="10" t="s">
        <v>83</v>
      </c>
      <c r="B12" s="27" t="s">
        <v>84</v>
      </c>
      <c r="C12" s="28" t="s">
        <v>33</v>
      </c>
      <c r="D12" s="27" t="s">
        <v>18</v>
      </c>
      <c r="E12" s="12">
        <v>44755</v>
      </c>
      <c r="F12" s="29">
        <v>125700.85</v>
      </c>
      <c r="G12" s="30">
        <v>2.5</v>
      </c>
      <c r="H12" s="27" t="s">
        <v>34</v>
      </c>
      <c r="I12" s="27" t="s">
        <v>85</v>
      </c>
      <c r="J12" s="6" t="b">
        <v>0</v>
      </c>
      <c r="K12" s="8" t="s">
        <v>135</v>
      </c>
    </row>
    <row r="13" spans="1:11" x14ac:dyDescent="0.3">
      <c r="A13" s="13" t="s">
        <v>98</v>
      </c>
      <c r="B13" s="31" t="s">
        <v>99</v>
      </c>
      <c r="C13" s="32" t="s">
        <v>100</v>
      </c>
      <c r="D13" s="31" t="s">
        <v>28</v>
      </c>
      <c r="E13" s="15">
        <v>41021</v>
      </c>
      <c r="F13" s="33">
        <v>134800.95000000001</v>
      </c>
      <c r="G13" s="34">
        <v>14.6</v>
      </c>
      <c r="H13" s="31" t="s">
        <v>29</v>
      </c>
      <c r="I13" s="31" t="s">
        <v>101</v>
      </c>
      <c r="J13" s="7" t="b">
        <v>1</v>
      </c>
      <c r="K13" s="9" t="s">
        <v>135</v>
      </c>
    </row>
    <row r="14" spans="1:11" x14ac:dyDescent="0.3">
      <c r="A14" s="10" t="s">
        <v>106</v>
      </c>
      <c r="B14" s="27" t="s">
        <v>107</v>
      </c>
      <c r="C14" s="28" t="s">
        <v>38</v>
      </c>
      <c r="D14" s="27" t="s">
        <v>12</v>
      </c>
      <c r="E14" s="12">
        <v>42885</v>
      </c>
      <c r="F14" s="29">
        <v>93600.6</v>
      </c>
      <c r="G14" s="30">
        <v>7.7</v>
      </c>
      <c r="H14" s="27" t="s">
        <v>34</v>
      </c>
      <c r="I14" s="27" t="s">
        <v>108</v>
      </c>
      <c r="J14" s="6" t="b">
        <v>0</v>
      </c>
      <c r="K14" s="8" t="s">
        <v>135</v>
      </c>
    </row>
    <row r="15" spans="1:11" x14ac:dyDescent="0.3">
      <c r="A15" s="13" t="s">
        <v>109</v>
      </c>
      <c r="B15" s="31" t="s">
        <v>110</v>
      </c>
      <c r="C15" s="32" t="s">
        <v>111</v>
      </c>
      <c r="D15" s="31" t="s">
        <v>18</v>
      </c>
      <c r="E15" s="15">
        <v>41939</v>
      </c>
      <c r="F15" s="33">
        <v>128300.2</v>
      </c>
      <c r="G15" s="34">
        <v>11.1</v>
      </c>
      <c r="H15" s="31" t="s">
        <v>43</v>
      </c>
      <c r="I15" s="31" t="s">
        <v>44</v>
      </c>
      <c r="J15" s="7" t="b">
        <v>1</v>
      </c>
      <c r="K15" s="9" t="s">
        <v>135</v>
      </c>
    </row>
    <row r="16" spans="1:11" x14ac:dyDescent="0.3">
      <c r="A16" s="10" t="s">
        <v>116</v>
      </c>
      <c r="B16" s="27" t="s">
        <v>117</v>
      </c>
      <c r="C16" s="28" t="s">
        <v>118</v>
      </c>
      <c r="D16" s="27" t="s">
        <v>56</v>
      </c>
      <c r="E16" s="12">
        <v>42204</v>
      </c>
      <c r="F16" s="29">
        <v>81000.55</v>
      </c>
      <c r="G16" s="30">
        <v>9.9</v>
      </c>
      <c r="H16" s="27" t="s">
        <v>29</v>
      </c>
      <c r="I16" s="27" t="s">
        <v>119</v>
      </c>
      <c r="J16" s="6" t="b">
        <v>0</v>
      </c>
      <c r="K16" s="8" t="s">
        <v>135</v>
      </c>
    </row>
    <row r="17" spans="1:11" x14ac:dyDescent="0.3">
      <c r="A17" s="13" t="s">
        <v>120</v>
      </c>
      <c r="B17" s="31" t="s">
        <v>121</v>
      </c>
      <c r="C17" s="32" t="s">
        <v>23</v>
      </c>
      <c r="D17" s="31" t="s">
        <v>18</v>
      </c>
      <c r="E17" s="15">
        <v>43409</v>
      </c>
      <c r="F17" s="33">
        <v>115800</v>
      </c>
      <c r="G17" s="34">
        <v>5.4</v>
      </c>
      <c r="H17" s="31" t="s">
        <v>34</v>
      </c>
      <c r="I17" s="31" t="s">
        <v>122</v>
      </c>
      <c r="J17" s="7" t="b">
        <v>0</v>
      </c>
      <c r="K17" s="9" t="s">
        <v>135</v>
      </c>
    </row>
    <row r="18" spans="1:11" x14ac:dyDescent="0.3">
      <c r="A18" s="10" t="s">
        <v>123</v>
      </c>
      <c r="B18" s="27" t="s">
        <v>124</v>
      </c>
      <c r="C18" s="28" t="s">
        <v>125</v>
      </c>
      <c r="D18" s="27" t="s">
        <v>42</v>
      </c>
      <c r="E18" s="12">
        <v>41540</v>
      </c>
      <c r="F18" s="29">
        <v>99500.75</v>
      </c>
      <c r="G18" s="30">
        <v>12.7</v>
      </c>
      <c r="H18" s="27" t="s">
        <v>19</v>
      </c>
      <c r="I18" s="27" t="s">
        <v>126</v>
      </c>
      <c r="J18" s="6" t="b">
        <v>1</v>
      </c>
      <c r="K18" s="8" t="s">
        <v>135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12ABF-42EC-49AF-A225-26541AFA89CA}">
  <dimension ref="A3:B19"/>
  <sheetViews>
    <sheetView workbookViewId="0">
      <selection activeCell="A12" sqref="A12:A14"/>
    </sheetView>
  </sheetViews>
  <sheetFormatPr defaultRowHeight="14.4" x14ac:dyDescent="0.3"/>
  <cols>
    <col min="1" max="1" width="7.109375" bestFit="1" customWidth="1"/>
    <col min="2" max="2" width="18.44140625" bestFit="1" customWidth="1"/>
  </cols>
  <sheetData>
    <row r="3" spans="1:2" x14ac:dyDescent="0.3">
      <c r="A3" s="16" t="s">
        <v>7</v>
      </c>
      <c r="B3" t="s">
        <v>137</v>
      </c>
    </row>
    <row r="4" spans="1:2" x14ac:dyDescent="0.3">
      <c r="A4" s="17" t="s">
        <v>29</v>
      </c>
      <c r="B4" s="1">
        <v>7</v>
      </c>
    </row>
    <row r="5" spans="1:2" x14ac:dyDescent="0.3">
      <c r="A5" s="17" t="s">
        <v>13</v>
      </c>
      <c r="B5" s="1">
        <v>7</v>
      </c>
    </row>
    <row r="6" spans="1:2" x14ac:dyDescent="0.3">
      <c r="A6" s="17" t="s">
        <v>19</v>
      </c>
      <c r="B6" s="1">
        <v>5</v>
      </c>
    </row>
    <row r="7" spans="1:2" x14ac:dyDescent="0.3">
      <c r="A7" s="17" t="s">
        <v>34</v>
      </c>
      <c r="B7" s="1">
        <v>5</v>
      </c>
    </row>
    <row r="8" spans="1:2" x14ac:dyDescent="0.3">
      <c r="A8" s="17" t="s">
        <v>43</v>
      </c>
      <c r="B8" s="1">
        <v>4</v>
      </c>
    </row>
    <row r="9" spans="1:2" x14ac:dyDescent="0.3">
      <c r="A9" s="17" t="s">
        <v>52</v>
      </c>
      <c r="B9" s="1">
        <v>2</v>
      </c>
    </row>
    <row r="11" spans="1:2" x14ac:dyDescent="0.3">
      <c r="A11" s="16" t="s">
        <v>8</v>
      </c>
      <c r="B11" t="s">
        <v>137</v>
      </c>
    </row>
    <row r="12" spans="1:2" x14ac:dyDescent="0.3">
      <c r="A12" s="17" t="s">
        <v>20</v>
      </c>
      <c r="B12" s="1">
        <v>3</v>
      </c>
    </row>
    <row r="13" spans="1:2" x14ac:dyDescent="0.3">
      <c r="A13" s="17" t="s">
        <v>14</v>
      </c>
      <c r="B13" s="1">
        <v>3</v>
      </c>
    </row>
    <row r="14" spans="1:2" x14ac:dyDescent="0.3">
      <c r="A14" s="17" t="s">
        <v>44</v>
      </c>
      <c r="B14" s="1">
        <v>3</v>
      </c>
    </row>
    <row r="18" spans="1:2" x14ac:dyDescent="0.3">
      <c r="A18" s="16" t="s">
        <v>8</v>
      </c>
      <c r="B18" t="s">
        <v>131</v>
      </c>
    </row>
    <row r="19" spans="1:2" x14ac:dyDescent="0.3">
      <c r="A19" s="17" t="s">
        <v>20</v>
      </c>
      <c r="B19" s="20">
        <v>315211.81999999995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9F9A6-B8DD-4C6A-80E3-65A00AF45988}">
  <dimension ref="A3:G10"/>
  <sheetViews>
    <sheetView tabSelected="1" workbookViewId="0">
      <selection activeCell="K10" sqref="K10"/>
    </sheetView>
  </sheetViews>
  <sheetFormatPr defaultRowHeight="14.4" x14ac:dyDescent="0.3"/>
  <cols>
    <col min="1" max="1" width="21" bestFit="1" customWidth="1"/>
    <col min="2" max="2" width="9.6640625" bestFit="1" customWidth="1"/>
    <col min="3" max="3" width="6.6640625" bestFit="1" customWidth="1"/>
    <col min="4" max="4" width="8.5546875" bestFit="1" customWidth="1"/>
    <col min="5" max="5" width="5.21875" bestFit="1" customWidth="1"/>
    <col min="6" max="6" width="3.33203125" bestFit="1" customWidth="1"/>
    <col min="7" max="7" width="4.44140625" bestFit="1" customWidth="1"/>
    <col min="8" max="8" width="10.5546875" bestFit="1" customWidth="1"/>
    <col min="9" max="9" width="5.21875" bestFit="1" customWidth="1"/>
    <col min="10" max="10" width="3.33203125" bestFit="1" customWidth="1"/>
    <col min="11" max="11" width="4.44140625" bestFit="1" customWidth="1"/>
    <col min="12" max="12" width="6.88671875" bestFit="1" customWidth="1"/>
    <col min="13" max="13" width="10.88671875" bestFit="1" customWidth="1"/>
    <col min="14" max="14" width="8.5546875" bestFit="1" customWidth="1"/>
    <col min="15" max="15" width="3.33203125" bestFit="1" customWidth="1"/>
    <col min="16" max="16" width="13.77734375" bestFit="1" customWidth="1"/>
    <col min="17" max="17" width="11.88671875" bestFit="1" customWidth="1"/>
    <col min="18" max="18" width="14.77734375" bestFit="1" customWidth="1"/>
    <col min="19" max="19" width="7.33203125" bestFit="1" customWidth="1"/>
    <col min="20" max="20" width="8.5546875" bestFit="1" customWidth="1"/>
    <col min="21" max="21" width="3.33203125" bestFit="1" customWidth="1"/>
    <col min="22" max="22" width="10" bestFit="1" customWidth="1"/>
    <col min="23" max="23" width="10.5546875" bestFit="1" customWidth="1"/>
  </cols>
  <sheetData>
    <row r="3" spans="1:7" x14ac:dyDescent="0.3">
      <c r="A3" s="16" t="s">
        <v>138</v>
      </c>
      <c r="B3" s="16" t="s">
        <v>7</v>
      </c>
    </row>
    <row r="4" spans="1:7" x14ac:dyDescent="0.3">
      <c r="A4" s="16" t="s">
        <v>3</v>
      </c>
      <c r="B4" t="s">
        <v>13</v>
      </c>
      <c r="C4" t="s">
        <v>43</v>
      </c>
      <c r="D4" t="s">
        <v>52</v>
      </c>
      <c r="E4" t="s">
        <v>34</v>
      </c>
      <c r="F4" t="s">
        <v>19</v>
      </c>
      <c r="G4" t="s">
        <v>29</v>
      </c>
    </row>
    <row r="5" spans="1:7" x14ac:dyDescent="0.3">
      <c r="A5" s="17" t="s">
        <v>12</v>
      </c>
      <c r="B5" s="1">
        <v>4</v>
      </c>
      <c r="C5" s="1"/>
      <c r="D5" s="1"/>
      <c r="E5" s="1">
        <v>1</v>
      </c>
      <c r="F5" s="1"/>
      <c r="G5" s="1"/>
    </row>
    <row r="6" spans="1:7" x14ac:dyDescent="0.3">
      <c r="A6" s="17" t="s">
        <v>56</v>
      </c>
      <c r="B6" s="1">
        <v>1</v>
      </c>
      <c r="C6" s="1"/>
      <c r="D6" s="1"/>
      <c r="E6" s="1"/>
      <c r="F6" s="1"/>
      <c r="G6" s="1">
        <v>3</v>
      </c>
    </row>
    <row r="7" spans="1:7" x14ac:dyDescent="0.3">
      <c r="A7" s="17" t="s">
        <v>18</v>
      </c>
      <c r="B7" s="1"/>
      <c r="C7" s="1">
        <v>1</v>
      </c>
      <c r="D7" s="1"/>
      <c r="E7" s="1">
        <v>4</v>
      </c>
      <c r="F7" s="1">
        <v>2</v>
      </c>
      <c r="G7" s="1">
        <v>2</v>
      </c>
    </row>
    <row r="8" spans="1:7" x14ac:dyDescent="0.3">
      <c r="A8" s="17" t="s">
        <v>42</v>
      </c>
      <c r="B8" s="1"/>
      <c r="C8" s="1">
        <v>3</v>
      </c>
      <c r="D8" s="1">
        <v>1</v>
      </c>
      <c r="E8" s="1"/>
      <c r="F8" s="1">
        <v>1</v>
      </c>
      <c r="G8" s="1"/>
    </row>
    <row r="9" spans="1:7" x14ac:dyDescent="0.3">
      <c r="A9" s="17" t="s">
        <v>28</v>
      </c>
      <c r="B9" s="1"/>
      <c r="C9" s="1"/>
      <c r="D9" s="1"/>
      <c r="E9" s="1"/>
      <c r="F9" s="1"/>
      <c r="G9" s="1">
        <v>2</v>
      </c>
    </row>
    <row r="10" spans="1:7" x14ac:dyDescent="0.3">
      <c r="A10" s="17" t="s">
        <v>24</v>
      </c>
      <c r="B10" s="1">
        <v>2</v>
      </c>
      <c r="C10" s="1"/>
      <c r="D10" s="1">
        <v>1</v>
      </c>
      <c r="E10" s="1"/>
      <c r="F10" s="1">
        <v>2</v>
      </c>
      <c r="G10" s="1"/>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E17E0-7175-42F7-83A7-2AE6DFD5CEE2}">
  <dimension ref="A3:I23"/>
  <sheetViews>
    <sheetView workbookViewId="0">
      <selection activeCell="B23" sqref="B23"/>
    </sheetView>
  </sheetViews>
  <sheetFormatPr defaultRowHeight="14.4" x14ac:dyDescent="0.3"/>
  <sheetData>
    <row r="3" spans="2:9" x14ac:dyDescent="0.3">
      <c r="B3" s="35" t="s">
        <v>139</v>
      </c>
      <c r="C3" s="35"/>
      <c r="D3" s="35"/>
      <c r="E3" s="35"/>
      <c r="F3" s="35"/>
      <c r="G3" s="35"/>
      <c r="H3" s="35"/>
      <c r="I3" s="35"/>
    </row>
    <row r="4" spans="2:9" x14ac:dyDescent="0.3">
      <c r="B4" s="35"/>
      <c r="C4" s="35"/>
      <c r="D4" s="35"/>
      <c r="E4" s="35"/>
      <c r="F4" s="35"/>
      <c r="G4" s="35"/>
      <c r="H4" s="35"/>
      <c r="I4" s="35"/>
    </row>
    <row r="23" spans="1:2" x14ac:dyDescent="0.3">
      <c r="A23">
        <v>8</v>
      </c>
      <c r="B23" t="s">
        <v>140</v>
      </c>
    </row>
  </sheetData>
  <mergeCells count="1">
    <mergeCell ref="B3:I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B7A2C-21F4-4DAB-8F47-F13EB0180A45}">
  <dimension ref="A3:B8"/>
  <sheetViews>
    <sheetView topLeftCell="B1" workbookViewId="0">
      <selection activeCell="G23" sqref="G23"/>
    </sheetView>
  </sheetViews>
  <sheetFormatPr defaultRowHeight="14.4" x14ac:dyDescent="0.3"/>
  <cols>
    <col min="1" max="1" width="13.109375" bestFit="1" customWidth="1"/>
    <col min="2" max="2" width="12.21875" bestFit="1" customWidth="1"/>
  </cols>
  <sheetData>
    <row r="3" spans="1:2" x14ac:dyDescent="0.3">
      <c r="A3" s="16" t="s">
        <v>141</v>
      </c>
      <c r="B3" t="s">
        <v>131</v>
      </c>
    </row>
    <row r="4" spans="1:2" x14ac:dyDescent="0.3">
      <c r="A4" s="17" t="s">
        <v>99</v>
      </c>
      <c r="B4" s="20">
        <v>134800.95000000001</v>
      </c>
    </row>
    <row r="5" spans="1:2" x14ac:dyDescent="0.3">
      <c r="A5" s="17" t="s">
        <v>46</v>
      </c>
      <c r="B5" s="20">
        <v>134200</v>
      </c>
    </row>
    <row r="6" spans="1:2" x14ac:dyDescent="0.3">
      <c r="A6" s="17" t="s">
        <v>110</v>
      </c>
      <c r="B6" s="20">
        <v>128300.2</v>
      </c>
    </row>
    <row r="7" spans="1:2" x14ac:dyDescent="0.3">
      <c r="A7" s="17" t="s">
        <v>84</v>
      </c>
      <c r="B7" s="20">
        <v>125700.85</v>
      </c>
    </row>
    <row r="8" spans="1:2" x14ac:dyDescent="0.3">
      <c r="A8" s="17" t="s">
        <v>26</v>
      </c>
      <c r="B8" s="20">
        <v>125500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5BC85-F60E-4355-B2A3-A9F33A362533}">
  <dimension ref="A3:B4"/>
  <sheetViews>
    <sheetView workbookViewId="0">
      <selection activeCell="B25" sqref="B25"/>
    </sheetView>
  </sheetViews>
  <sheetFormatPr defaultRowHeight="14.4" x14ac:dyDescent="0.3"/>
  <cols>
    <col min="1" max="1" width="13.21875" bestFit="1" customWidth="1"/>
    <col min="2" max="2" width="12.6640625" bestFit="1" customWidth="1"/>
  </cols>
  <sheetData>
    <row r="3" spans="1:2" x14ac:dyDescent="0.3">
      <c r="A3" s="16" t="s">
        <v>3</v>
      </c>
      <c r="B3" t="s">
        <v>131</v>
      </c>
    </row>
    <row r="4" spans="1:2" x14ac:dyDescent="0.3">
      <c r="A4" s="17" t="s">
        <v>18</v>
      </c>
      <c r="B4" s="20">
        <v>1019641.2199999999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660BB-6CBB-4AEF-914D-6E8345FB9514}">
  <dimension ref="A3:B4"/>
  <sheetViews>
    <sheetView workbookViewId="0">
      <selection activeCell="A6" sqref="A6"/>
    </sheetView>
  </sheetViews>
  <sheetFormatPr defaultRowHeight="14.4" x14ac:dyDescent="0.3"/>
  <cols>
    <col min="1" max="1" width="10" bestFit="1" customWidth="1"/>
    <col min="2" max="2" width="13.77734375" bestFit="1" customWidth="1"/>
  </cols>
  <sheetData>
    <row r="3" spans="1:2" x14ac:dyDescent="0.3">
      <c r="A3" s="16" t="s">
        <v>142</v>
      </c>
      <c r="B3" t="s">
        <v>136</v>
      </c>
    </row>
    <row r="4" spans="1:2" x14ac:dyDescent="0.3">
      <c r="A4" s="17" t="s">
        <v>23</v>
      </c>
      <c r="B4" s="1">
        <v>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A4058-FC32-4A96-8CEA-1B660FA8430B}">
  <dimension ref="A1"/>
  <sheetViews>
    <sheetView workbookViewId="0"/>
  </sheetViews>
  <sheetFormatPr defaultRowHeight="14.4" x14ac:dyDescent="0.3"/>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9F85F-3EA3-40EA-95DD-78F83A975355}">
  <sheetPr>
    <pageSetUpPr fitToPage="1"/>
  </sheetPr>
  <dimension ref="B1:X26"/>
  <sheetViews>
    <sheetView showGridLines="0" showRowColHeaders="0" zoomScale="50" zoomScaleNormal="50" workbookViewId="0">
      <selection activeCell="AD20" sqref="AD20"/>
    </sheetView>
  </sheetViews>
  <sheetFormatPr defaultRowHeight="14.4" x14ac:dyDescent="0.3"/>
  <cols>
    <col min="1" max="16384" width="8.88671875" style="37"/>
  </cols>
  <sheetData>
    <row r="1" spans="2:23" x14ac:dyDescent="0.3">
      <c r="I1" s="38" t="s">
        <v>164</v>
      </c>
      <c r="J1" s="39"/>
      <c r="K1" s="39"/>
      <c r="L1" s="39"/>
      <c r="M1" s="39"/>
    </row>
    <row r="3" spans="2:23" x14ac:dyDescent="0.3">
      <c r="B3" s="40" t="s">
        <v>143</v>
      </c>
      <c r="C3" s="40"/>
      <c r="D3" s="41"/>
      <c r="H3" s="42" t="s">
        <v>146</v>
      </c>
      <c r="I3" s="42"/>
      <c r="J3" s="42"/>
      <c r="N3" s="42" t="s">
        <v>159</v>
      </c>
      <c r="O3" s="42"/>
      <c r="P3" s="42"/>
      <c r="U3" s="42" t="s">
        <v>160</v>
      </c>
      <c r="V3" s="42"/>
      <c r="W3" s="42"/>
    </row>
    <row r="4" spans="2:23" x14ac:dyDescent="0.3">
      <c r="B4" s="43">
        <v>96711.17333333334</v>
      </c>
      <c r="C4" s="43">
        <v>96711.17333333334</v>
      </c>
      <c r="D4" s="43">
        <v>96711.17333333334</v>
      </c>
      <c r="H4" s="44">
        <v>8.129999999999999</v>
      </c>
      <c r="I4" s="44">
        <v>8.129999999999999</v>
      </c>
      <c r="J4" s="44">
        <v>8.129999999999999</v>
      </c>
      <c r="N4" s="45">
        <v>0.33333333333333331</v>
      </c>
      <c r="O4" s="45">
        <v>0.33333333333333331</v>
      </c>
      <c r="P4" s="45">
        <v>0.33333333333333331</v>
      </c>
      <c r="U4" s="45">
        <v>0.1</v>
      </c>
      <c r="V4" s="45">
        <v>0.1</v>
      </c>
      <c r="W4" s="45">
        <v>0.1</v>
      </c>
    </row>
    <row r="23" spans="18:24" x14ac:dyDescent="0.3">
      <c r="R23" s="42" t="s">
        <v>161</v>
      </c>
      <c r="S23" s="42"/>
      <c r="T23" s="42"/>
      <c r="V23" s="42" t="s">
        <v>162</v>
      </c>
      <c r="W23" s="42"/>
      <c r="X23" s="42"/>
    </row>
    <row r="24" spans="18:24" x14ac:dyDescent="0.3">
      <c r="R24" s="46" t="s">
        <v>20</v>
      </c>
      <c r="S24" s="46"/>
      <c r="T24" s="46"/>
      <c r="V24" s="46" t="s">
        <v>20</v>
      </c>
      <c r="W24" s="46"/>
      <c r="X24" s="46"/>
    </row>
    <row r="25" spans="18:24" x14ac:dyDescent="0.3">
      <c r="R25" s="46" t="s">
        <v>14</v>
      </c>
      <c r="S25" s="46"/>
      <c r="T25" s="46"/>
    </row>
    <row r="26" spans="18:24" x14ac:dyDescent="0.3">
      <c r="R26" s="46" t="s">
        <v>44</v>
      </c>
      <c r="S26" s="46"/>
      <c r="T26" s="46"/>
    </row>
  </sheetData>
  <mergeCells count="14">
    <mergeCell ref="R26:T26"/>
    <mergeCell ref="V23:X23"/>
    <mergeCell ref="V24:X24"/>
    <mergeCell ref="H3:J3"/>
    <mergeCell ref="B4:D4"/>
    <mergeCell ref="I1:M1"/>
    <mergeCell ref="U3:W3"/>
    <mergeCell ref="U4:W4"/>
    <mergeCell ref="R23:T23"/>
    <mergeCell ref="R24:T24"/>
    <mergeCell ref="R25:T25"/>
    <mergeCell ref="H4:J4"/>
    <mergeCell ref="N3:P3"/>
    <mergeCell ref="N4:P4"/>
  </mergeCells>
  <pageMargins left="0.7" right="0.7" top="0.75" bottom="0.75" header="0.3" footer="0.3"/>
  <pageSetup scale="51" orientation="landscape" horizontalDpi="1200" verticalDpi="120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5B22871-4C0B-4E12-BEBA-264331F500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Sheet14</vt:lpstr>
      <vt:lpstr>Sheet15</vt:lpstr>
      <vt:lpstr>GlobalTech</vt:lpstr>
      <vt:lpstr>10yrs_plus_emp</vt:lpstr>
      <vt:lpstr>high_avg_dept</vt:lpstr>
      <vt:lpstr>salary per department</vt:lpstr>
      <vt:lpstr>Highclass</vt:lpstr>
      <vt:lpstr>Top country and City</vt:lpstr>
      <vt:lpstr>Department by country</vt:lpstr>
      <vt:lpstr>experience vs salary</vt:lpstr>
      <vt:lpstr>Top earners</vt:lpstr>
      <vt:lpstr>Top department</vt:lpstr>
      <vt:lpstr>Top job title</vt:lpstr>
      <vt:lpstr>Sheet11</vt:lpstr>
      <vt:lpstr>GlobalTech Employee Dashboard</vt:lpstr>
      <vt:lpstr>global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Salaudeen Naffisat Ajoke</dc:creator>
  <cp:lastModifiedBy>Salaudeen Naffisat Ajoke</cp:lastModifiedBy>
  <cp:lastPrinted>2025-10-11T06:25:12Z</cp:lastPrinted>
  <dcterms:created xsi:type="dcterms:W3CDTF">2025-10-11T00:27:53Z</dcterms:created>
  <dcterms:modified xsi:type="dcterms:W3CDTF">2025-10-11T06:26:44Z</dcterms:modified>
</cp:coreProperties>
</file>